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43959562\Desktop\Forms\"/>
    </mc:Choice>
  </mc:AlternateContent>
  <bookViews>
    <workbookView showSheetTabs="0" xWindow="0" yWindow="0" windowWidth="18870" windowHeight="6915" activeTab="10"/>
  </bookViews>
  <sheets>
    <sheet name="Landing Page" sheetId="3" r:id="rId1"/>
    <sheet name="Int Biz Travel" sheetId="1" r:id="rId2"/>
    <sheet name="Int Advance" sheetId="8" r:id="rId3"/>
    <sheet name="Int Expense" sheetId="11" r:id="rId4"/>
    <sheet name="Dom Biz Travel" sheetId="10" r:id="rId5"/>
    <sheet name="Dom Advance" sheetId="21" r:id="rId6"/>
    <sheet name="Dom Expense" sheetId="22" r:id="rId7"/>
    <sheet name="Relocation A" sheetId="19" r:id="rId8"/>
    <sheet name="Relocation B" sheetId="20" r:id="rId9"/>
    <sheet name="Corporate Credit Card" sheetId="26" r:id="rId10"/>
    <sheet name="Others" sheetId="23" r:id="rId11"/>
    <sheet name="References" sheetId="5" state="hidden" r:id="rId12"/>
    <sheet name="GL Codes" sheetId="25" state="hidden" r:id="rId13"/>
  </sheets>
  <definedNames>
    <definedName name="Banks">References!$A$1:$A$3</definedName>
    <definedName name="CURRENCY">References!$D$1:$D$22</definedName>
    <definedName name="Mode_Of_Recovery">References!$C$1:$C$4</definedName>
    <definedName name="Payment_Type">References!$B$1:$B$6</definedName>
    <definedName name="_xlnm.Print_Area" localSheetId="9">'Corporate Credit Card'!$A$1:$M$61</definedName>
    <definedName name="_xlnm.Print_Area" localSheetId="4">'Dom Biz Travel'!$A$1:$M$195</definedName>
    <definedName name="_xlnm.Print_Area" localSheetId="1">'Int Biz Travel'!$A$1:$M$209</definedName>
    <definedName name="_xlnm.Print_Area" localSheetId="10">Others!$A$1:$M$62</definedName>
    <definedName name="_xlnm.Print_Area" localSheetId="7">'Relocation A'!$A$1:$M$62</definedName>
    <definedName name="_xlnm.Print_Area" localSheetId="8">'Relocation B'!$A$1:$M$61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1" i="10" l="1"/>
  <c r="F60" i="10"/>
  <c r="F59" i="10"/>
  <c r="F77" i="1"/>
  <c r="E44" i="23"/>
  <c r="E44" i="26"/>
  <c r="E46" i="20"/>
  <c r="E47" i="19"/>
  <c r="E51" i="10"/>
  <c r="E41" i="1"/>
  <c r="J33" i="10"/>
  <c r="J34" i="10"/>
  <c r="F51" i="1"/>
  <c r="F53" i="1"/>
  <c r="F53" i="23"/>
  <c r="F57" i="26"/>
  <c r="F56" i="26"/>
  <c r="F58" i="26"/>
  <c r="F55" i="26"/>
  <c r="F54" i="26"/>
  <c r="F53" i="26"/>
  <c r="H41" i="10"/>
  <c r="H42" i="10"/>
  <c r="H31" i="1"/>
  <c r="H32" i="1"/>
  <c r="J36" i="26"/>
  <c r="F57" i="23"/>
  <c r="F58" i="23"/>
  <c r="F56" i="23"/>
  <c r="F55" i="23"/>
  <c r="F54" i="23"/>
  <c r="F52" i="23"/>
  <c r="F54" i="20"/>
  <c r="F55" i="20"/>
  <c r="F57" i="19"/>
  <c r="F56" i="19"/>
  <c r="F55" i="19"/>
  <c r="J21" i="10"/>
  <c r="J41" i="10"/>
  <c r="J26" i="10"/>
  <c r="J42" i="10"/>
  <c r="J22" i="1"/>
  <c r="J31" i="1"/>
  <c r="J32" i="20"/>
  <c r="J33" i="19"/>
  <c r="J27" i="1"/>
  <c r="J32" i="1"/>
  <c r="F52" i="1"/>
  <c r="F50" i="1"/>
  <c r="F49" i="1"/>
  <c r="I34" i="10"/>
  <c r="I33" i="10"/>
  <c r="F78" i="1"/>
  <c r="D33" i="1"/>
  <c r="D43" i="10"/>
  <c r="H43" i="10"/>
  <c r="J43" i="10"/>
  <c r="J33" i="1"/>
  <c r="H33" i="1"/>
</calcChain>
</file>

<file path=xl/comments1.xml><?xml version="1.0" encoding="utf-8"?>
<comments xmlns="http://schemas.openxmlformats.org/spreadsheetml/2006/main">
  <authors>
    <author>charith.appachu@noexternalmail.hsbc.com</author>
  </authors>
  <commentList>
    <comment ref="E83" authorId="0" shapeId="0">
      <text>
        <r>
          <rPr>
            <sz val="9"/>
            <color indexed="81"/>
            <rFont val="Tahoma"/>
            <family val="2"/>
          </rPr>
          <t xml:space="preserve">The date to be entered cannot be in the future
</t>
        </r>
      </text>
    </comment>
    <comment ref="E142" authorId="0" shapeId="0">
      <text>
        <r>
          <rPr>
            <sz val="9"/>
            <color indexed="81"/>
            <rFont val="Tahoma"/>
            <family val="2"/>
          </rPr>
          <t xml:space="preserve">The date to be entered cannot be in the future
</t>
        </r>
      </text>
    </comment>
    <comment ref="E146" authorId="0" shapeId="0">
      <text>
        <r>
          <rPr>
            <sz val="9"/>
            <color indexed="81"/>
            <rFont val="Tahoma"/>
            <family val="2"/>
          </rPr>
          <t xml:space="preserve">The date to be entered cannot be in the future
</t>
        </r>
      </text>
    </comment>
  </commentList>
</comments>
</file>

<file path=xl/comments2.xml><?xml version="1.0" encoding="utf-8"?>
<comments xmlns="http://schemas.openxmlformats.org/spreadsheetml/2006/main">
  <authors>
    <author>charith.appachu@noexternalmail.hsbc.com</author>
  </authors>
  <commentList>
    <comment ref="D5" authorId="0" shapeId="0">
      <text>
        <r>
          <rPr>
            <sz val="9"/>
            <color indexed="81"/>
            <rFont val="Tahoma"/>
            <family val="2"/>
          </rPr>
          <t xml:space="preserve">The date to be entered cannot be in the future
</t>
        </r>
      </text>
    </comment>
  </commentList>
</comments>
</file>

<file path=xl/comments3.xml><?xml version="1.0" encoding="utf-8"?>
<comments xmlns="http://schemas.openxmlformats.org/spreadsheetml/2006/main">
  <authors>
    <author>charith.appachu@noexternalmail.hsbc.com</author>
  </authors>
  <commentList>
    <comment ref="B4" authorId="0" shapeId="0">
      <text>
        <r>
          <rPr>
            <sz val="9"/>
            <color indexed="81"/>
            <rFont val="Tahoma"/>
            <family val="2"/>
          </rPr>
          <t>(If any other item mentioned does not appears in the list then it should appear under miscellaneous expenses with valid commentary)</t>
        </r>
      </text>
    </comment>
    <comment ref="D5" authorId="0" shapeId="0">
      <text>
        <r>
          <rPr>
            <sz val="9"/>
            <color indexed="81"/>
            <rFont val="Tahoma"/>
            <family val="2"/>
          </rPr>
          <t xml:space="preserve">The date to be entered cannot be in the future
</t>
        </r>
      </text>
    </comment>
  </commentList>
</comments>
</file>

<file path=xl/comments4.xml><?xml version="1.0" encoding="utf-8"?>
<comments xmlns="http://schemas.openxmlformats.org/spreadsheetml/2006/main">
  <authors>
    <author>charith.appachu@noexternalmail.hsbc.com</author>
  </authors>
  <commentList>
    <comment ref="E76" authorId="0" shapeId="0">
      <text>
        <r>
          <rPr>
            <sz val="9"/>
            <color indexed="81"/>
            <rFont val="Tahoma"/>
            <family val="2"/>
          </rPr>
          <t xml:space="preserve">The date to be entered cannot be in the future
</t>
        </r>
      </text>
    </comment>
    <comment ref="E139" authorId="0" shapeId="0">
      <text>
        <r>
          <rPr>
            <sz val="9"/>
            <color indexed="81"/>
            <rFont val="Tahoma"/>
            <family val="2"/>
          </rPr>
          <t xml:space="preserve">The date to be entered cannot be in the future
</t>
        </r>
      </text>
    </comment>
  </commentList>
</comments>
</file>

<file path=xl/comments5.xml><?xml version="1.0" encoding="utf-8"?>
<comments xmlns="http://schemas.openxmlformats.org/spreadsheetml/2006/main">
  <authors>
    <author>charith.appachu@noexternalmail.hsbc.com</author>
  </authors>
  <commentList>
    <comment ref="D5" authorId="0" shapeId="0">
      <text>
        <r>
          <rPr>
            <sz val="9"/>
            <color indexed="81"/>
            <rFont val="Tahoma"/>
            <family val="2"/>
          </rPr>
          <t xml:space="preserve">The date to be entered cannot be in the future
</t>
        </r>
      </text>
    </comment>
  </commentList>
</comments>
</file>

<file path=xl/comments6.xml><?xml version="1.0" encoding="utf-8"?>
<comments xmlns="http://schemas.openxmlformats.org/spreadsheetml/2006/main">
  <authors>
    <author>charith.appachu@noexternalmail.hsbc.com</author>
  </authors>
  <commentList>
    <comment ref="B4" authorId="0" shapeId="0">
      <text>
        <r>
          <rPr>
            <sz val="9"/>
            <color indexed="81"/>
            <rFont val="Tahoma"/>
            <family val="2"/>
          </rPr>
          <t>(If any other item mentioned does not appears in the list then it should appear under miscellaneous expenses with valid commentary)</t>
        </r>
      </text>
    </comment>
    <comment ref="D5" authorId="0" shapeId="0">
      <text>
        <r>
          <rPr>
            <sz val="9"/>
            <color indexed="81"/>
            <rFont val="Tahoma"/>
            <family val="2"/>
          </rPr>
          <t xml:space="preserve">The date to be entered cannot be in the future
</t>
        </r>
      </text>
    </comment>
  </commentList>
</comments>
</file>

<file path=xl/sharedStrings.xml><?xml version="1.0" encoding="utf-8"?>
<sst xmlns="http://schemas.openxmlformats.org/spreadsheetml/2006/main" count="506" uniqueCount="207">
  <si>
    <t xml:space="preserve">   </t>
  </si>
  <si>
    <t>Date</t>
  </si>
  <si>
    <t>Duration</t>
  </si>
  <si>
    <t>Cash</t>
  </si>
  <si>
    <t>Total Advance (A)</t>
  </si>
  <si>
    <t>Long Distance Calls</t>
  </si>
  <si>
    <t>Laundry</t>
  </si>
  <si>
    <t>Cash loading fees</t>
  </si>
  <si>
    <t>Total Expenditure (B)</t>
  </si>
  <si>
    <t>Amount</t>
  </si>
  <si>
    <t>Total Advance ( A)</t>
  </si>
  <si>
    <t>Total Expenditure(B)</t>
  </si>
  <si>
    <t>Option</t>
  </si>
  <si>
    <t>Recovery</t>
  </si>
  <si>
    <t>Currency</t>
  </si>
  <si>
    <t>Withdrawal from Card balance</t>
  </si>
  <si>
    <t>Forex will be returned to Finance</t>
  </si>
  <si>
    <t>Salary Deduction</t>
  </si>
  <si>
    <r>
      <t>Declaration</t>
    </r>
    <r>
      <rPr>
        <sz val="9"/>
        <color theme="1"/>
        <rFont val="Times New Roman"/>
        <family val="1"/>
      </rPr>
      <t xml:space="preserve"> :</t>
    </r>
  </si>
  <si>
    <t>Date:</t>
  </si>
  <si>
    <t>Approved by the PM/ SPM</t>
  </si>
  <si>
    <t>Approved for payment (Head of Dept.)</t>
  </si>
  <si>
    <r>
      <t>NOTES</t>
    </r>
    <r>
      <rPr>
        <sz val="9"/>
        <color theme="1"/>
        <rFont val="Times New Roman"/>
        <family val="1"/>
      </rPr>
      <t>:</t>
    </r>
  </si>
  <si>
    <t>Document for Internal Circulation &amp; Use only</t>
  </si>
  <si>
    <t>Axis Bank</t>
  </si>
  <si>
    <t xml:space="preserve">Card issued by                                             </t>
  </si>
  <si>
    <t>Note: Kindly read the instructions &amp; fill all the required details carefully before submission of the claim.</t>
  </si>
  <si>
    <t>Payment Type</t>
  </si>
  <si>
    <t>Miscellaneous</t>
  </si>
  <si>
    <t>Signature of the Associate</t>
  </si>
  <si>
    <t>Card Issuing Bank</t>
  </si>
  <si>
    <r>
      <t>SUPPORTING DOCUMENT CHECK LIST</t>
    </r>
    <r>
      <rPr>
        <sz val="9"/>
        <color theme="1"/>
        <rFont val="Times New Roman"/>
        <family val="1"/>
      </rPr>
      <t>:</t>
    </r>
  </si>
  <si>
    <t>Designation</t>
  </si>
  <si>
    <t>Purpose of Visit</t>
  </si>
  <si>
    <t>From</t>
  </si>
  <si>
    <t>To</t>
  </si>
  <si>
    <t>Total (INR)</t>
  </si>
  <si>
    <t>Personal Credit / Debit Card</t>
  </si>
  <si>
    <t>Other</t>
  </si>
  <si>
    <t>USD U.S. DOLLAR</t>
  </si>
  <si>
    <t>CAD CANADIAN DOLLAR</t>
  </si>
  <si>
    <t>BHD BAHRAINI DINAR</t>
  </si>
  <si>
    <t>KWD KUWAITI DINAR</t>
  </si>
  <si>
    <t>OMR OMANI RIYAL</t>
  </si>
  <si>
    <t>EUR EURO</t>
  </si>
  <si>
    <t>CHF SWISS FRANC</t>
  </si>
  <si>
    <t>JPY JAPANESE YEN</t>
  </si>
  <si>
    <t>AUD AUSTRALIAN DOLLAR</t>
  </si>
  <si>
    <t>HKD HONGKONG DOLLAR</t>
  </si>
  <si>
    <t>SGD SINGAPORE DOLLAR</t>
  </si>
  <si>
    <t>DKK DANISH KRONER</t>
  </si>
  <si>
    <t>AED UAE DIRHAM</t>
  </si>
  <si>
    <t>SAR SAUDI RIYAL</t>
  </si>
  <si>
    <t>CNY CHINESE YUAN</t>
  </si>
  <si>
    <t>PHP PHILIPPINE PESO</t>
  </si>
  <si>
    <t>QAR QATARI RIYAL</t>
  </si>
  <si>
    <t>MYR MALAYSIAN RINGGIT</t>
  </si>
  <si>
    <t>Travel Card</t>
  </si>
  <si>
    <t>INR INDIAN RUPEE</t>
  </si>
  <si>
    <t>Comments</t>
  </si>
  <si>
    <t>Hotel Receipt</t>
  </si>
  <si>
    <t>Taxi/Travel Receipt</t>
  </si>
  <si>
    <t>Per Diem</t>
  </si>
  <si>
    <t>Travel Card No</t>
  </si>
  <si>
    <t>HDFC Bank</t>
  </si>
  <si>
    <t>Advance Payment Type</t>
  </si>
  <si>
    <t>ADVANCE PAYMENT</t>
  </si>
  <si>
    <t>EXPENSES</t>
  </si>
  <si>
    <t>Expense Classification</t>
  </si>
  <si>
    <t># of Supporting Documents</t>
  </si>
  <si>
    <t>SUMMARY:</t>
  </si>
  <si>
    <t>Long distance calls bills</t>
  </si>
  <si>
    <t>Bills for Miscellaneous</t>
  </si>
  <si>
    <t>Foreign Hotel Costs</t>
  </si>
  <si>
    <t>Breakfast</t>
  </si>
  <si>
    <t>Car / Taxi / Train Fare</t>
  </si>
  <si>
    <t>Foreign DOA</t>
  </si>
  <si>
    <r>
      <t xml:space="preserve">(Note: </t>
    </r>
    <r>
      <rPr>
        <i/>
        <sz val="8"/>
        <color theme="1"/>
        <rFont val="Times New Roman"/>
        <family val="1"/>
      </rPr>
      <t>Kindly select the mode of recovery. Please select multiple options in case of multiple recovery methods)</t>
    </r>
  </si>
  <si>
    <t>Departure Date</t>
  </si>
  <si>
    <t>Arrival Date</t>
  </si>
  <si>
    <t>Department/Office</t>
  </si>
  <si>
    <t>Place of visit</t>
  </si>
  <si>
    <t>On-site Location Arrival Date</t>
  </si>
  <si>
    <t>On-site Location Departure Date</t>
  </si>
  <si>
    <t>Travel Card Number</t>
  </si>
  <si>
    <t>INR will be returned to Finance</t>
  </si>
  <si>
    <t>I hereby declare that during this business trip I have spent the entire per diem amount received for it on Coveyance and Food</t>
  </si>
  <si>
    <t>Hotel Costs</t>
  </si>
  <si>
    <t>Details of Recovery in case total business expense is less than Advance</t>
  </si>
  <si>
    <t>Details of Recovery in case total business expense is less than Forex Advance</t>
  </si>
  <si>
    <t xml:space="preserve">Do you wish to fill information regarding Deductions? </t>
  </si>
  <si>
    <t>Total Deductions (C)</t>
  </si>
  <si>
    <t>Deductions</t>
  </si>
  <si>
    <t>Lunch ( No. of days x Amount)</t>
  </si>
  <si>
    <t>Dinner (No. of nights x Amount)</t>
  </si>
  <si>
    <t>No. of Days</t>
  </si>
  <si>
    <t>Amount per day</t>
  </si>
  <si>
    <t>Per Diem ( in INR)</t>
  </si>
  <si>
    <t>Relocation from</t>
  </si>
  <si>
    <t>PeopleSoft No</t>
  </si>
  <si>
    <t>Total Expenditure</t>
  </si>
  <si>
    <t>Packers &amp; Movers</t>
  </si>
  <si>
    <t>Travel</t>
  </si>
  <si>
    <t>Brokerage</t>
  </si>
  <si>
    <t>Accommodation</t>
  </si>
  <si>
    <t>School Fees</t>
  </si>
  <si>
    <t>I certify that the above provided information is accurate to the best of my knowledge</t>
  </si>
  <si>
    <t>Name of the Employee</t>
  </si>
  <si>
    <t>Packers &amp; Movers Receipt</t>
  </si>
  <si>
    <t>Travel Receipt</t>
  </si>
  <si>
    <t>Brokerage Receipt</t>
  </si>
  <si>
    <t>Accommodation Receipt</t>
  </si>
  <si>
    <t>School Fees Receipt</t>
  </si>
  <si>
    <t xml:space="preserve">Do you wish to fill information regarding Advance Received ? </t>
  </si>
  <si>
    <t xml:space="preserve">Do you wish to fill information regarding Expenses Incurred ? </t>
  </si>
  <si>
    <t>Date 
(dd-mmm-yy)</t>
  </si>
  <si>
    <r>
      <rPr>
        <b/>
        <i/>
        <u/>
        <sz val="8"/>
        <color theme="1"/>
        <rFont val="Times New Roman"/>
        <family val="1"/>
      </rPr>
      <t xml:space="preserve">Note </t>
    </r>
    <r>
      <rPr>
        <i/>
        <sz val="8"/>
        <color theme="1"/>
        <rFont val="Times New Roman"/>
        <family val="1"/>
      </rPr>
      <t>: In case the expense is in multiple currencies, please convert the values to the currency in which the advance was received. For FX conversion, please use any available currency conversion site like OANDA, XE etc and please mention the rate used in the comments</t>
    </r>
  </si>
  <si>
    <r>
      <rPr>
        <b/>
        <i/>
        <u/>
        <sz val="8"/>
        <color theme="1"/>
        <rFont val="Times New Roman"/>
        <family val="1"/>
      </rPr>
      <t xml:space="preserve">Note </t>
    </r>
    <r>
      <rPr>
        <i/>
        <sz val="8"/>
        <color theme="1"/>
        <rFont val="Times New Roman"/>
        <family val="1"/>
      </rPr>
      <t>: In case the expense is in multiple currencies, please convert the values to Indian Rupee. For FX conversion, please use any available currency conversion site like OANDA, XE etc and please mention the rate used in the comments</t>
    </r>
  </si>
  <si>
    <t>Processed by Accounts Payable</t>
  </si>
  <si>
    <t>Per Diem - Self</t>
  </si>
  <si>
    <t>Per Diem - Spouse / Family</t>
  </si>
  <si>
    <t>Kindly read the instructions &amp; fill all the required details carefully before submission of the claim.</t>
  </si>
  <si>
    <t>Others</t>
  </si>
  <si>
    <t>Client Entertainment</t>
  </si>
  <si>
    <t>Department - Staff Welfare</t>
  </si>
  <si>
    <t>External Courses</t>
  </si>
  <si>
    <t>Local Conveyance</t>
  </si>
  <si>
    <t>Work Permits &amp; Visas</t>
  </si>
  <si>
    <t>Details for Transfer</t>
  </si>
  <si>
    <t>Bank Name</t>
  </si>
  <si>
    <t>Account Number</t>
  </si>
  <si>
    <t>Account Holder Name</t>
  </si>
  <si>
    <t>IFSC Code</t>
  </si>
  <si>
    <t>Training - Others</t>
  </si>
  <si>
    <t>As per HSDI Travel policy, the employee is expected to withdraw the entire DOA before arrival to home country.  I hereby declare that entire allowances received during this overseas trip have been spent on my daily expenses.</t>
  </si>
  <si>
    <t>Travel Card Statement</t>
  </si>
  <si>
    <t>Required</t>
  </si>
  <si>
    <t>Other than Corporate Card</t>
  </si>
  <si>
    <t>Office Location</t>
  </si>
  <si>
    <t>Place of Visit</t>
  </si>
  <si>
    <t>Pune</t>
  </si>
  <si>
    <t>Hyderabad</t>
  </si>
  <si>
    <t>Reimbursements for one trip should not be claimed through multiple forms</t>
  </si>
  <si>
    <t>For arrivals (departures) for days when the return journey commences after (before) 12:00 hrs, 50% of the daily rate can be claimed. When the bank provides you with lunch or dinner, the daily reimbursemenet will be reduced by 20% for lunch and 40% for dinner respectively</t>
  </si>
  <si>
    <t>Please attach bills and receipts as appropriate</t>
  </si>
  <si>
    <t>DOA is applicable from the day of arrival in the overseas location to the day of departure</t>
  </si>
  <si>
    <t>Kindly attach statement copy of either Forex card or corporate credit card for travel period expenses</t>
  </si>
  <si>
    <t>Kindly refer Relocation Policy and FAQ document in HR Direct before claim of expenses. In case of clarifications, kindly contact HSDI Travel Desk</t>
  </si>
  <si>
    <t>Client Entertainment Receipt</t>
  </si>
  <si>
    <t>Dept - Staff Welfare Receipt</t>
  </si>
  <si>
    <t>Work Permits &amp; Visa Receipt</t>
  </si>
  <si>
    <t>External Courses Receipt</t>
  </si>
  <si>
    <t>Local Conveyance Receipt</t>
  </si>
  <si>
    <t>Training Receipt</t>
  </si>
  <si>
    <t>Miscellaneous Receipt</t>
  </si>
  <si>
    <t>GL Code</t>
  </si>
  <si>
    <t>Type</t>
  </si>
  <si>
    <t>Car Hire Costs - Local</t>
  </si>
  <si>
    <t>Domestic Travel</t>
  </si>
  <si>
    <t>DOMESTIC AIR TRAVEL</t>
  </si>
  <si>
    <t>DOMESTIC TRAVEL-OTHER</t>
  </si>
  <si>
    <t xml:space="preserve"> FOREIGN TRAVEL-OTHER</t>
  </si>
  <si>
    <t>Overseas Claim</t>
  </si>
  <si>
    <t>Car Hire Costs - Overseas</t>
  </si>
  <si>
    <t>FOREIGN AIR TRAVEL</t>
  </si>
  <si>
    <t>Account Description</t>
  </si>
  <si>
    <t>Employee claim Reimbursment</t>
  </si>
  <si>
    <t>Overseas</t>
  </si>
  <si>
    <t>Domestic</t>
  </si>
  <si>
    <t>Employee Claim</t>
  </si>
  <si>
    <t>Type of Expense</t>
  </si>
  <si>
    <t>GL Code ?</t>
  </si>
  <si>
    <t>GL Description</t>
  </si>
  <si>
    <r>
      <rPr>
        <b/>
        <i/>
        <u/>
        <sz val="8"/>
        <color theme="1"/>
        <rFont val="Times New Roman"/>
        <family val="1"/>
      </rPr>
      <t xml:space="preserve">Note </t>
    </r>
    <r>
      <rPr>
        <i/>
        <sz val="8"/>
        <color theme="1"/>
        <rFont val="Times New Roman"/>
        <family val="1"/>
      </rPr>
      <t>: In case the expense is in multiple currencies, please convert the values to a single currency. For FX conversion, please use any available currency conversion site like OANDA, XE etc and please mention the rate used in the comments</t>
    </r>
  </si>
  <si>
    <t>Credit Card Statement</t>
  </si>
  <si>
    <t>Kindly refer Travel Policy guideline available in Intranet before claim of expenses. In case of clarifications, kindly contact HSDI Travel Desk</t>
  </si>
  <si>
    <t>Balance in card</t>
  </si>
  <si>
    <t>Food expenses</t>
  </si>
  <si>
    <t>Credit Card Number</t>
  </si>
  <si>
    <t>Food bills</t>
  </si>
  <si>
    <t>Misc. Expenses Receipt</t>
  </si>
  <si>
    <t>Corporate Card</t>
  </si>
  <si>
    <t>Dept. - Staff Welfare</t>
  </si>
  <si>
    <t>Applicable only for "Withdrawal from Card balance"</t>
  </si>
  <si>
    <t>Date (dd-mmm-yy)</t>
  </si>
  <si>
    <t>Project Name</t>
  </si>
  <si>
    <t>Name of the Associate</t>
  </si>
  <si>
    <t>Name of the PM / SPM</t>
  </si>
  <si>
    <t>Approved by the PM / SPM</t>
  </si>
  <si>
    <t>For Advances and Expenses related to overseas business travel, click here</t>
  </si>
  <si>
    <t>For Relocation reimbursements related to Packers &amp; Movers, Per Diem - Self, Travel and Brokerage, click here</t>
  </si>
  <si>
    <t>For Corporate Credit Card Expenses, click here</t>
  </si>
  <si>
    <t>For expenses related to domestic business travel, click here</t>
  </si>
  <si>
    <t>For Relocation reimbursements related to Per Diem - Spouse / Family, Accommodation / deposit and school fees, click here</t>
  </si>
  <si>
    <t>For any other expenses, click here</t>
  </si>
  <si>
    <t>Narration</t>
  </si>
  <si>
    <t>GBP POUND STERLING</t>
  </si>
  <si>
    <t>Note :</t>
  </si>
  <si>
    <t xml:space="preserve">(1) Kindly select "Enable Content" in the Security Warning message that appears on opening the Excel. Else an error stating "Cannot run the macro" appears </t>
  </si>
  <si>
    <t>(3) The user is expected to take a printout of the form and validate the form with signatures and then send it to the processing team</t>
  </si>
  <si>
    <t xml:space="preserve">(2) The user is expected to fill in all the fields provided in the form. </t>
  </si>
  <si>
    <t xml:space="preserve">               OVERSEAS BUSINESS TRAVEL EXPENSE </t>
  </si>
  <si>
    <t xml:space="preserve">                      LOCAL BUSINESS TRAVEL EXPENSE </t>
  </si>
  <si>
    <t xml:space="preserve">                       RELOCATION EXPENSE  - FORM A</t>
  </si>
  <si>
    <t xml:space="preserve">                         RELOCATION EXPENSE  - FORM B</t>
  </si>
  <si>
    <t xml:space="preserve">                             CORPORATE CREDIT CARD EXPENSE</t>
  </si>
  <si>
    <t xml:space="preserve">                             OTHER EXPENSE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</si>
</sst>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25" x14ac:knownFonts="1">
    <font>
      <sz val="11"/>
      <color theme="1"/>
      <name val="Calibri"/>
      <family val="2"/>
      <scheme val="minor"/>
    </font>
    <font>
      <sz val="9"/>
      <color theme="1"/>
      <name val="Times New Roman"/>
      <family val="1"/>
    </font>
    <font>
      <b/>
      <sz val="9"/>
      <color theme="1"/>
      <name val="Times New Roman"/>
      <family val="1"/>
    </font>
    <font>
      <sz val="10"/>
      <color theme="1"/>
      <name val="Times New Roman"/>
      <family val="1"/>
    </font>
    <font>
      <b/>
      <sz val="12"/>
      <color theme="1"/>
      <name val="Times New Roman"/>
      <family val="1"/>
    </font>
    <font>
      <i/>
      <sz val="8"/>
      <color theme="1"/>
      <name val="Times New Roman"/>
      <family val="1"/>
    </font>
    <font>
      <b/>
      <sz val="10"/>
      <color theme="1"/>
      <name val="Times New Roman"/>
      <family val="1"/>
    </font>
    <font>
      <b/>
      <i/>
      <sz val="8"/>
      <color theme="1"/>
      <name val="Times New Roman"/>
      <family val="1"/>
    </font>
    <font>
      <sz val="9"/>
      <color rgb="FF000000"/>
      <name val="Times New Roman"/>
      <family val="1"/>
    </font>
    <font>
      <b/>
      <sz val="6"/>
      <color theme="1"/>
      <name val="Times New Roman"/>
      <family val="1"/>
    </font>
    <font>
      <i/>
      <sz val="6"/>
      <color theme="1"/>
      <name val="Times New Roman"/>
      <family val="1"/>
    </font>
    <font>
      <b/>
      <sz val="14"/>
      <color theme="1"/>
      <name val="Times New Roman"/>
      <family val="1"/>
    </font>
    <font>
      <sz val="11"/>
      <color rgb="FF000000"/>
      <name val="Calibri"/>
      <family val="2"/>
    </font>
    <font>
      <sz val="9"/>
      <color indexed="81"/>
      <name val="Tahoma"/>
      <family val="2"/>
    </font>
    <font>
      <b/>
      <i/>
      <u/>
      <sz val="8"/>
      <color theme="1"/>
      <name val="Times New Roman"/>
      <family val="1"/>
    </font>
    <font>
      <sz val="11"/>
      <color theme="1"/>
      <name val="Times New Roman"/>
      <family val="1"/>
    </font>
    <font>
      <sz val="11"/>
      <color theme="0"/>
      <name val="Calibri"/>
      <family val="2"/>
      <scheme val="minor"/>
    </font>
    <font>
      <b/>
      <sz val="10"/>
      <color theme="1"/>
      <name val="Calibri"/>
      <family val="2"/>
      <scheme val="minor"/>
    </font>
    <font>
      <sz val="10"/>
      <name val="Arial"/>
      <family val="2"/>
    </font>
    <font>
      <b/>
      <sz val="10"/>
      <name val="Calibri"/>
      <family val="2"/>
      <scheme val="minor"/>
    </font>
    <font>
      <sz val="11"/>
      <name val="Calibri"/>
      <family val="2"/>
      <scheme val="minor"/>
    </font>
    <font>
      <i/>
      <sz val="11"/>
      <color theme="1"/>
      <name val="Calibri"/>
      <family val="2"/>
      <scheme val="minor"/>
    </font>
    <font>
      <b/>
      <i/>
      <u/>
      <sz val="11"/>
      <color theme="1"/>
      <name val="Calibri"/>
      <family val="2"/>
      <scheme val="minor"/>
    </font>
    <font>
      <b/>
      <i/>
      <u/>
      <sz val="11"/>
      <color rgb="FFFF0000"/>
      <name val="Calibri"/>
      <family val="2"/>
      <scheme val="minor"/>
    </font>
    <font>
      <sz val="16"/>
      <color theme="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002060"/>
        <bgColor indexed="64"/>
      </patternFill>
    </fill>
    <fill>
      <patternFill patternType="solid">
        <fgColor them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diagonal/>
    </border>
    <border>
      <left/>
      <right style="medium">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2">
    <xf numFmtId="0" fontId="0" fillId="0" borderId="0"/>
    <xf numFmtId="0" fontId="18" fillId="0" borderId="0"/>
  </cellStyleXfs>
  <cellXfs count="266">
    <xf numFmtId="0" fontId="0" fillId="0" borderId="0" xfId="0"/>
    <xf numFmtId="0" fontId="0" fillId="0" borderId="0" xfId="0" applyBorder="1" applyAlignment="1">
      <alignment horizontal="center"/>
    </xf>
    <xf numFmtId="0" fontId="0" fillId="0" borderId="0" xfId="0" applyBorder="1"/>
    <xf numFmtId="0" fontId="0" fillId="0" borderId="0" xfId="0" applyBorder="1" applyAlignment="1">
      <alignment horizontal="left"/>
    </xf>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left"/>
    </xf>
    <xf numFmtId="0" fontId="1" fillId="0" borderId="0" xfId="0" applyFont="1" applyBorder="1" applyAlignment="1"/>
    <xf numFmtId="0" fontId="1" fillId="0" borderId="0" xfId="0" applyFont="1" applyBorder="1" applyAlignment="1">
      <alignment horizontal="center"/>
    </xf>
    <xf numFmtId="0" fontId="1" fillId="0" borderId="11" xfId="0" applyFont="1" applyBorder="1"/>
    <xf numFmtId="0" fontId="1" fillId="0" borderId="11" xfId="0" applyFont="1" applyBorder="1" applyAlignment="1">
      <alignment horizontal="center"/>
    </xf>
    <xf numFmtId="0" fontId="1" fillId="0" borderId="12" xfId="0" applyFont="1" applyBorder="1"/>
    <xf numFmtId="0" fontId="1" fillId="0" borderId="0" xfId="0" applyFont="1" applyBorder="1"/>
    <xf numFmtId="0" fontId="1" fillId="0" borderId="11" xfId="0" applyFont="1" applyBorder="1" applyAlignment="1">
      <alignment horizontal="left"/>
    </xf>
    <xf numFmtId="0" fontId="0" fillId="0" borderId="7" xfId="0" applyBorder="1"/>
    <xf numFmtId="0" fontId="0" fillId="0" borderId="18" xfId="0" applyBorder="1"/>
    <xf numFmtId="0" fontId="0" fillId="0" borderId="8" xfId="0" applyBorder="1"/>
    <xf numFmtId="0" fontId="0" fillId="0" borderId="6" xfId="0" applyBorder="1"/>
    <xf numFmtId="0" fontId="0" fillId="0" borderId="9" xfId="0" applyBorder="1"/>
    <xf numFmtId="0" fontId="1" fillId="0" borderId="0" xfId="0" applyFont="1" applyBorder="1" applyAlignment="1">
      <alignment horizontal="justify" vertical="center"/>
    </xf>
    <xf numFmtId="0" fontId="1" fillId="0" borderId="0" xfId="0" applyFont="1" applyBorder="1" applyAlignment="1">
      <alignment wrapText="1"/>
    </xf>
    <xf numFmtId="0" fontId="0" fillId="0" borderId="19" xfId="0" applyBorder="1"/>
    <xf numFmtId="0" fontId="0" fillId="0" borderId="9" xfId="0" applyBorder="1" applyAlignment="1">
      <alignment horizontal="left"/>
    </xf>
    <xf numFmtId="0" fontId="5" fillId="0" borderId="0" xfId="0" applyFont="1" applyBorder="1" applyAlignment="1">
      <alignment horizontal="left" vertical="center"/>
    </xf>
    <xf numFmtId="0" fontId="5" fillId="0" borderId="9" xfId="0" applyFont="1" applyBorder="1" applyAlignment="1">
      <alignment horizontal="left" vertical="center"/>
    </xf>
    <xf numFmtId="0" fontId="3" fillId="0" borderId="0" xfId="0" applyFont="1" applyBorder="1" applyAlignment="1">
      <alignment horizontal="left" vertical="center"/>
    </xf>
    <xf numFmtId="0" fontId="7" fillId="0" borderId="0" xfId="0" applyFont="1" applyBorder="1"/>
    <xf numFmtId="0" fontId="0" fillId="0" borderId="4" xfId="0" applyBorder="1"/>
    <xf numFmtId="0" fontId="0" fillId="0" borderId="20" xfId="0" applyBorder="1"/>
    <xf numFmtId="0" fontId="0" fillId="0" borderId="5" xfId="0" applyBorder="1"/>
    <xf numFmtId="0" fontId="1" fillId="0" borderId="22" xfId="0" applyFont="1" applyBorder="1"/>
    <xf numFmtId="0" fontId="1" fillId="0" borderId="22" xfId="0" applyFont="1" applyBorder="1" applyAlignment="1">
      <alignment horizontal="center"/>
    </xf>
    <xf numFmtId="0" fontId="2" fillId="0" borderId="0" xfId="0" applyFont="1" applyBorder="1" applyAlignment="1">
      <alignment horizontal="center"/>
    </xf>
    <xf numFmtId="0" fontId="1" fillId="0" borderId="0" xfId="0" applyFont="1" applyBorder="1" applyAlignment="1">
      <alignment horizontal="left" wrapText="1"/>
    </xf>
    <xf numFmtId="0" fontId="0" fillId="0" borderId="0" xfId="0" applyBorder="1" applyAlignment="1">
      <alignment horizontal="left"/>
    </xf>
    <xf numFmtId="0" fontId="2" fillId="0" borderId="0" xfId="0" applyFont="1" applyBorder="1" applyAlignment="1">
      <alignment horizontal="left"/>
    </xf>
    <xf numFmtId="0" fontId="0" fillId="0" borderId="26" xfId="0" applyBorder="1"/>
    <xf numFmtId="0" fontId="0" fillId="0" borderId="27" xfId="0" applyBorder="1"/>
    <xf numFmtId="0" fontId="0" fillId="0" borderId="28" xfId="0" applyBorder="1"/>
    <xf numFmtId="0" fontId="0" fillId="0" borderId="19" xfId="0" applyBorder="1" applyAlignment="1">
      <alignment horizontal="left"/>
    </xf>
    <xf numFmtId="0" fontId="2" fillId="0" borderId="22" xfId="0" applyFont="1" applyBorder="1"/>
    <xf numFmtId="0" fontId="2" fillId="0" borderId="22" xfId="0" applyFont="1" applyBorder="1" applyAlignment="1">
      <alignment horizontal="center"/>
    </xf>
    <xf numFmtId="0" fontId="1" fillId="0" borderId="22" xfId="0" applyFont="1" applyBorder="1" applyAlignment="1"/>
    <xf numFmtId="0" fontId="2" fillId="0" borderId="20" xfId="0" applyFont="1" applyBorder="1" applyAlignment="1">
      <alignment vertical="center"/>
    </xf>
    <xf numFmtId="0" fontId="9" fillId="0" borderId="20" xfId="0" applyFont="1" applyBorder="1" applyAlignment="1">
      <alignment vertical="center"/>
    </xf>
    <xf numFmtId="0" fontId="10" fillId="0" borderId="20" xfId="0" applyFont="1" applyBorder="1"/>
    <xf numFmtId="0" fontId="2"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alignment horizontal="left" vertical="center"/>
    </xf>
    <xf numFmtId="0" fontId="2" fillId="0" borderId="12" xfId="0" applyFont="1" applyBorder="1" applyAlignment="1">
      <alignment horizontal="center"/>
    </xf>
    <xf numFmtId="0" fontId="1" fillId="0" borderId="0" xfId="0" applyFont="1" applyBorder="1" applyAlignment="1">
      <alignment horizontal="left" wrapText="1"/>
    </xf>
    <xf numFmtId="0" fontId="1" fillId="0" borderId="13" xfId="0" applyFont="1" applyBorder="1" applyAlignment="1">
      <alignment horizontal="left"/>
    </xf>
    <xf numFmtId="0" fontId="2" fillId="0" borderId="12" xfId="0" applyFont="1" applyBorder="1" applyAlignment="1">
      <alignment wrapText="1"/>
    </xf>
    <xf numFmtId="0" fontId="15" fillId="0" borderId="0" xfId="0" applyFont="1" applyBorder="1"/>
    <xf numFmtId="0" fontId="15" fillId="0" borderId="0" xfId="0" applyFont="1" applyBorder="1" applyAlignment="1"/>
    <xf numFmtId="0" fontId="15" fillId="0" borderId="0" xfId="0" applyFont="1" applyFill="1" applyBorder="1" applyAlignment="1"/>
    <xf numFmtId="0" fontId="15" fillId="0" borderId="0" xfId="0" applyFont="1" applyBorder="1" applyAlignment="1">
      <alignment horizontal="left"/>
    </xf>
    <xf numFmtId="0" fontId="6" fillId="0" borderId="12" xfId="0" applyFont="1" applyBorder="1" applyAlignment="1">
      <alignment wrapText="1"/>
    </xf>
    <xf numFmtId="0" fontId="6" fillId="0" borderId="12" xfId="0" applyFont="1" applyBorder="1" applyAlignment="1">
      <alignment horizontal="center" wrapText="1"/>
    </xf>
    <xf numFmtId="0" fontId="1" fillId="0" borderId="12" xfId="0" applyFont="1" applyBorder="1" applyAlignment="1">
      <alignment wrapText="1"/>
    </xf>
    <xf numFmtId="0" fontId="6" fillId="0" borderId="12" xfId="0" applyFont="1" applyBorder="1" applyAlignment="1">
      <alignment horizontal="center" vertical="center" wrapText="1"/>
    </xf>
    <xf numFmtId="0" fontId="1" fillId="0" borderId="18" xfId="0" applyFont="1" applyBorder="1"/>
    <xf numFmtId="0" fontId="1" fillId="0" borderId="0" xfId="0" applyFont="1" applyBorder="1" applyAlignment="1">
      <alignment horizontal="left" vertical="center"/>
    </xf>
    <xf numFmtId="0" fontId="5" fillId="0" borderId="0" xfId="0" applyFont="1" applyBorder="1" applyAlignment="1">
      <alignment horizontal="left" vertical="center"/>
    </xf>
    <xf numFmtId="0" fontId="2" fillId="0" borderId="0" xfId="0" applyFont="1" applyAlignment="1">
      <alignment horizontal="left" vertical="center" wrapText="1"/>
    </xf>
    <xf numFmtId="0" fontId="1" fillId="0" borderId="0" xfId="0" applyFont="1" applyBorder="1" applyAlignment="1">
      <alignment horizontal="left"/>
    </xf>
    <xf numFmtId="0" fontId="1" fillId="0" borderId="0" xfId="0" applyFont="1" applyBorder="1" applyAlignment="1">
      <alignment horizontal="left" wrapText="1"/>
    </xf>
    <xf numFmtId="0" fontId="0" fillId="0" borderId="0" xfId="0" applyBorder="1" applyAlignment="1">
      <alignment horizontal="left"/>
    </xf>
    <xf numFmtId="0" fontId="5" fillId="0" borderId="0" xfId="0" applyFont="1" applyBorder="1" applyAlignment="1">
      <alignment horizontal="left" vertical="center"/>
    </xf>
    <xf numFmtId="0" fontId="2" fillId="0" borderId="0" xfId="0" applyFont="1" applyBorder="1" applyAlignment="1">
      <alignment horizontal="left"/>
    </xf>
    <xf numFmtId="0" fontId="1" fillId="0" borderId="0" xfId="0" applyFont="1" applyBorder="1" applyAlignment="1">
      <alignment horizontal="center"/>
    </xf>
    <xf numFmtId="0" fontId="2" fillId="0" borderId="12" xfId="0" applyFont="1" applyBorder="1" applyAlignment="1">
      <alignment horizontal="center" wrapText="1"/>
    </xf>
    <xf numFmtId="0" fontId="1" fillId="0" borderId="0" xfId="0" applyFont="1" applyBorder="1" applyAlignment="1">
      <alignment horizontal="center"/>
    </xf>
    <xf numFmtId="0" fontId="15" fillId="0" borderId="0" xfId="0" applyFont="1" applyFill="1" applyBorder="1"/>
    <xf numFmtId="0" fontId="17" fillId="2" borderId="0" xfId="0" applyFont="1" applyFill="1" applyBorder="1"/>
    <xf numFmtId="0" fontId="19" fillId="2" borderId="0" xfId="1" applyFont="1" applyFill="1" applyBorder="1" applyAlignment="1">
      <alignment horizontal="center"/>
    </xf>
    <xf numFmtId="0" fontId="20" fillId="2" borderId="0" xfId="0" applyFont="1" applyFill="1" applyBorder="1"/>
    <xf numFmtId="0" fontId="20" fillId="2" borderId="25" xfId="0" applyFont="1" applyFill="1" applyBorder="1"/>
    <xf numFmtId="0" fontId="1" fillId="0" borderId="0" xfId="0" applyFont="1" applyBorder="1" applyAlignment="1">
      <alignment horizontal="left" vertical="center" wrapText="1"/>
    </xf>
    <xf numFmtId="0" fontId="1" fillId="0" borderId="0" xfId="0" applyFont="1" applyBorder="1" applyAlignment="1">
      <alignment vertical="top"/>
    </xf>
    <xf numFmtId="0" fontId="0" fillId="3" borderId="0" xfId="0" applyFill="1"/>
    <xf numFmtId="0" fontId="0" fillId="0" borderId="12" xfId="0" applyFont="1" applyBorder="1"/>
    <xf numFmtId="0" fontId="0" fillId="0" borderId="12" xfId="0" applyFont="1" applyBorder="1" applyAlignment="1"/>
    <xf numFmtId="0" fontId="0" fillId="0" borderId="12" xfId="0" applyFont="1" applyBorder="1" applyAlignment="1">
      <alignment horizontal="left"/>
    </xf>
    <xf numFmtId="0" fontId="16" fillId="4" borderId="12" xfId="0" applyFont="1" applyFill="1" applyBorder="1"/>
    <xf numFmtId="0" fontId="1" fillId="0" borderId="12" xfId="0" applyFont="1" applyBorder="1" applyAlignment="1" applyProtection="1">
      <alignment wrapText="1"/>
      <protection locked="0"/>
    </xf>
    <xf numFmtId="0" fontId="1" fillId="0" borderId="12" xfId="0" applyFont="1" applyBorder="1" applyProtection="1">
      <protection locked="0"/>
    </xf>
    <xf numFmtId="0" fontId="1" fillId="0" borderId="12" xfId="0" applyFont="1" applyBorder="1" applyAlignment="1" applyProtection="1">
      <alignment horizontal="center" wrapText="1"/>
      <protection locked="0"/>
    </xf>
    <xf numFmtId="0" fontId="1" fillId="0" borderId="13" xfId="0" applyFont="1" applyBorder="1" applyAlignment="1" applyProtection="1">
      <alignment horizontal="left"/>
      <protection locked="0"/>
    </xf>
    <xf numFmtId="0" fontId="1" fillId="0" borderId="12" xfId="0" applyFont="1" applyBorder="1" applyAlignment="1" applyProtection="1">
      <alignment vertical="center" wrapText="1"/>
      <protection locked="0"/>
    </xf>
    <xf numFmtId="0" fontId="0" fillId="0" borderId="6" xfId="0" applyBorder="1" applyProtection="1">
      <protection locked="0"/>
    </xf>
    <xf numFmtId="0" fontId="5" fillId="0" borderId="0" xfId="0" applyFont="1" applyBorder="1"/>
    <xf numFmtId="164" fontId="1" fillId="0" borderId="1" xfId="0" applyNumberFormat="1" applyFont="1" applyBorder="1" applyProtection="1">
      <protection locked="0"/>
    </xf>
    <xf numFmtId="0" fontId="6" fillId="0" borderId="37" xfId="0" applyFont="1" applyBorder="1" applyAlignment="1">
      <alignment horizontal="center" wrapText="1"/>
    </xf>
    <xf numFmtId="164" fontId="1" fillId="0" borderId="12" xfId="0" applyNumberFormat="1" applyFont="1" applyBorder="1" applyProtection="1">
      <protection locked="0"/>
    </xf>
    <xf numFmtId="0" fontId="2" fillId="0" borderId="0" xfId="0" applyFont="1" applyBorder="1" applyAlignment="1">
      <alignment vertical="center" wrapText="1"/>
    </xf>
    <xf numFmtId="0" fontId="0" fillId="0" borderId="0" xfId="0" applyBorder="1" applyAlignment="1">
      <alignment horizontal="left"/>
    </xf>
    <xf numFmtId="0" fontId="0" fillId="5" borderId="29" xfId="0" applyFill="1" applyBorder="1"/>
    <xf numFmtId="0" fontId="0" fillId="5" borderId="18" xfId="0" applyFill="1" applyBorder="1"/>
    <xf numFmtId="0" fontId="0" fillId="5" borderId="8" xfId="0" applyFill="1" applyBorder="1"/>
    <xf numFmtId="0" fontId="0" fillId="5" borderId="24" xfId="0" applyFill="1" applyBorder="1"/>
    <xf numFmtId="0" fontId="0" fillId="5" borderId="0" xfId="0" applyFill="1" applyBorder="1"/>
    <xf numFmtId="0" fontId="0" fillId="5" borderId="9" xfId="0" applyFill="1" applyBorder="1"/>
    <xf numFmtId="0" fontId="0" fillId="5" borderId="30" xfId="0" applyFill="1" applyBorder="1"/>
    <xf numFmtId="0" fontId="0" fillId="5" borderId="20" xfId="0" applyFill="1" applyBorder="1"/>
    <xf numFmtId="0" fontId="0" fillId="5" borderId="5" xfId="0" applyFill="1" applyBorder="1"/>
    <xf numFmtId="0" fontId="1" fillId="6" borderId="12" xfId="0" applyFont="1" applyFill="1" applyBorder="1" applyProtection="1">
      <protection locked="0"/>
    </xf>
    <xf numFmtId="0" fontId="2" fillId="6" borderId="12" xfId="0" applyFont="1" applyFill="1" applyBorder="1" applyAlignment="1">
      <alignment horizontal="center"/>
    </xf>
    <xf numFmtId="0" fontId="1" fillId="7" borderId="12" xfId="0" applyFont="1" applyFill="1" applyBorder="1" applyProtection="1">
      <protection locked="0"/>
    </xf>
    <xf numFmtId="0" fontId="2" fillId="7" borderId="12" xfId="0" applyFont="1" applyFill="1" applyBorder="1" applyAlignment="1">
      <alignment horizontal="center"/>
    </xf>
    <xf numFmtId="0" fontId="1" fillId="8" borderId="12" xfId="0" applyFont="1" applyFill="1" applyBorder="1" applyProtection="1">
      <protection locked="0"/>
    </xf>
    <xf numFmtId="0" fontId="2" fillId="8" borderId="12" xfId="0" applyFont="1" applyFill="1" applyBorder="1" applyAlignment="1">
      <alignment horizontal="center"/>
    </xf>
    <xf numFmtId="0" fontId="1" fillId="9" borderId="12" xfId="0" applyFont="1" applyFill="1" applyBorder="1" applyProtection="1">
      <protection locked="0"/>
    </xf>
    <xf numFmtId="0" fontId="2" fillId="9" borderId="12" xfId="0" applyFont="1" applyFill="1" applyBorder="1" applyAlignment="1">
      <alignment horizontal="center"/>
    </xf>
    <xf numFmtId="0" fontId="1" fillId="0" borderId="12" xfId="0" applyFont="1" applyFill="1" applyBorder="1"/>
    <xf numFmtId="0" fontId="1" fillId="0" borderId="12" xfId="0" applyFont="1" applyBorder="1" applyAlignment="1">
      <alignment horizontal="left"/>
    </xf>
    <xf numFmtId="0" fontId="0" fillId="0" borderId="12" xfId="0" applyBorder="1" applyAlignment="1">
      <alignment horizontal="left"/>
    </xf>
    <xf numFmtId="0" fontId="21" fillId="0" borderId="0" xfId="0" applyFont="1"/>
    <xf numFmtId="0" fontId="22" fillId="0" borderId="0" xfId="0" applyFont="1"/>
    <xf numFmtId="0" fontId="23" fillId="0" borderId="0" xfId="0" applyFont="1"/>
    <xf numFmtId="0" fontId="7" fillId="0" borderId="0" xfId="0" applyFont="1" applyBorder="1" applyProtection="1"/>
    <xf numFmtId="0" fontId="1" fillId="0" borderId="0" xfId="0" applyFont="1" applyBorder="1" applyProtection="1"/>
    <xf numFmtId="0" fontId="0" fillId="0" borderId="0" xfId="0" applyBorder="1" applyProtection="1"/>
    <xf numFmtId="0" fontId="0" fillId="0" borderId="9" xfId="0" applyBorder="1" applyProtection="1"/>
    <xf numFmtId="0" fontId="1" fillId="0" borderId="0" xfId="0" applyFont="1" applyBorder="1" applyAlignment="1" applyProtection="1">
      <alignment horizontal="left"/>
    </xf>
    <xf numFmtId="0" fontId="1" fillId="0" borderId="12" xfId="0" applyFont="1" applyBorder="1" applyAlignment="1" applyProtection="1">
      <alignment horizontal="center" wrapText="1"/>
      <protection locked="0"/>
    </xf>
    <xf numFmtId="0" fontId="0" fillId="5" borderId="7"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31" xfId="0" applyFill="1" applyBorder="1" applyAlignment="1">
      <alignment horizontal="center" vertical="center" wrapText="1"/>
    </xf>
    <xf numFmtId="0" fontId="0" fillId="5" borderId="6" xfId="0" applyFill="1" applyBorder="1" applyAlignment="1">
      <alignment horizontal="center" vertical="center" wrapText="1"/>
    </xf>
    <xf numFmtId="0" fontId="0" fillId="5" borderId="0" xfId="0" applyFill="1" applyBorder="1" applyAlignment="1">
      <alignment horizontal="center" vertical="center" wrapText="1"/>
    </xf>
    <xf numFmtId="0" fontId="0" fillId="5" borderId="25" xfId="0" applyFill="1" applyBorder="1" applyAlignment="1">
      <alignment horizontal="center" vertical="center" wrapText="1"/>
    </xf>
    <xf numFmtId="0" fontId="0" fillId="5" borderId="4" xfId="0" applyFill="1" applyBorder="1" applyAlignment="1">
      <alignment horizontal="center" vertical="center" wrapText="1"/>
    </xf>
    <xf numFmtId="0" fontId="0" fillId="5" borderId="20" xfId="0" applyFill="1" applyBorder="1" applyAlignment="1">
      <alignment horizontal="center" vertical="center" wrapText="1"/>
    </xf>
    <xf numFmtId="0" fontId="0" fillId="5" borderId="32" xfId="0" applyFill="1" applyBorder="1" applyAlignment="1">
      <alignment horizontal="center" vertical="center" wrapText="1"/>
    </xf>
    <xf numFmtId="0" fontId="1" fillId="0" borderId="0" xfId="0" applyFont="1" applyBorder="1" applyAlignment="1">
      <alignment horizontal="left" vertical="top" wrapText="1"/>
    </xf>
    <xf numFmtId="0" fontId="1" fillId="0" borderId="12" xfId="0" applyFont="1" applyBorder="1" applyAlignment="1">
      <alignment horizontal="left"/>
    </xf>
    <xf numFmtId="0" fontId="0" fillId="0" borderId="12" xfId="0" applyBorder="1" applyAlignment="1">
      <alignment horizontal="left"/>
    </xf>
    <xf numFmtId="0" fontId="1" fillId="0" borderId="0" xfId="0" applyFont="1" applyBorder="1" applyAlignment="1">
      <alignment horizontal="left"/>
    </xf>
    <xf numFmtId="0" fontId="1" fillId="0" borderId="13" xfId="0" applyFont="1" applyBorder="1" applyAlignment="1" applyProtection="1">
      <alignment horizontal="center"/>
      <protection locked="0"/>
    </xf>
    <xf numFmtId="0" fontId="1" fillId="0" borderId="15" xfId="0" applyFont="1" applyBorder="1" applyAlignment="1" applyProtection="1">
      <alignment horizontal="center"/>
      <protection locked="0"/>
    </xf>
    <xf numFmtId="0" fontId="1" fillId="0" borderId="0" xfId="0" applyFont="1" applyBorder="1" applyAlignment="1">
      <alignment horizontal="left" vertical="top"/>
    </xf>
    <xf numFmtId="0" fontId="0" fillId="0" borderId="0" xfId="0" applyBorder="1" applyAlignment="1">
      <alignment horizontal="left"/>
    </xf>
    <xf numFmtId="0" fontId="8" fillId="0" borderId="0" xfId="0" applyFont="1" applyBorder="1" applyAlignment="1">
      <alignment horizontal="left" vertical="top"/>
    </xf>
    <xf numFmtId="0" fontId="2" fillId="0" borderId="13" xfId="0" applyFont="1" applyBorder="1" applyAlignment="1">
      <alignment horizontal="center"/>
    </xf>
    <xf numFmtId="0" fontId="2" fillId="0" borderId="15" xfId="0" applyFont="1" applyBorder="1" applyAlignment="1">
      <alignment horizontal="center"/>
    </xf>
    <xf numFmtId="0" fontId="2" fillId="0" borderId="0" xfId="0" applyFont="1" applyBorder="1" applyAlignment="1">
      <alignment horizontal="left"/>
    </xf>
    <xf numFmtId="0" fontId="1" fillId="0" borderId="14" xfId="0" applyFont="1" applyBorder="1" applyAlignment="1" applyProtection="1">
      <alignment horizontal="center"/>
      <protection locked="0"/>
    </xf>
    <xf numFmtId="0" fontId="7" fillId="0" borderId="0" xfId="0" applyFont="1" applyBorder="1" applyAlignment="1">
      <alignment horizontal="left"/>
    </xf>
    <xf numFmtId="0" fontId="1" fillId="0" borderId="0" xfId="0" applyFont="1" applyBorder="1" applyAlignment="1" applyProtection="1">
      <alignment horizontal="left" vertical="center"/>
    </xf>
    <xf numFmtId="0" fontId="2" fillId="0" borderId="13" xfId="0" applyFont="1" applyBorder="1" applyAlignment="1">
      <alignment horizontal="left"/>
    </xf>
    <xf numFmtId="0" fontId="2" fillId="0" borderId="14" xfId="0" applyFont="1" applyBorder="1" applyAlignment="1">
      <alignment horizontal="left"/>
    </xf>
    <xf numFmtId="0" fontId="2" fillId="0" borderId="15" xfId="0" applyFont="1" applyBorder="1" applyAlignment="1">
      <alignment horizontal="left"/>
    </xf>
    <xf numFmtId="0" fontId="1" fillId="0" borderId="2"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4" fillId="0" borderId="0" xfId="0" applyFont="1" applyBorder="1" applyAlignment="1">
      <alignment horizontal="center"/>
    </xf>
    <xf numFmtId="0" fontId="24" fillId="10" borderId="18" xfId="0" applyFont="1" applyFill="1" applyBorder="1" applyAlignment="1">
      <alignment horizontal="center" vertical="center"/>
    </xf>
    <xf numFmtId="0" fontId="24" fillId="10" borderId="8" xfId="0" applyFont="1" applyFill="1" applyBorder="1" applyAlignment="1">
      <alignment horizontal="center" vertical="center"/>
    </xf>
    <xf numFmtId="0" fontId="24" fillId="10" borderId="0" xfId="0" applyFont="1" applyFill="1" applyBorder="1" applyAlignment="1">
      <alignment horizontal="center" vertical="center"/>
    </xf>
    <xf numFmtId="0" fontId="24" fillId="10" borderId="9" xfId="0" applyFont="1" applyFill="1" applyBorder="1" applyAlignment="1">
      <alignment horizontal="center" vertical="center"/>
    </xf>
    <xf numFmtId="0" fontId="2" fillId="0" borderId="9" xfId="0" applyFont="1" applyBorder="1" applyAlignment="1">
      <alignment horizontal="left"/>
    </xf>
    <xf numFmtId="0" fontId="1" fillId="0" borderId="33" xfId="0"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36" xfId="0" applyFont="1" applyBorder="1" applyAlignment="1" applyProtection="1">
      <alignment horizontal="center" vertic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0" xfId="0" applyFont="1" applyBorder="1" applyAlignment="1">
      <alignment horizontal="left" vertical="center"/>
    </xf>
    <xf numFmtId="0" fontId="1" fillId="8" borderId="13" xfId="0" applyFont="1" applyFill="1" applyBorder="1" applyAlignment="1" applyProtection="1">
      <alignment horizontal="center"/>
      <protection locked="0"/>
    </xf>
    <xf numFmtId="0" fontId="1" fillId="8" borderId="15" xfId="0" applyFont="1" applyFill="1" applyBorder="1" applyAlignment="1" applyProtection="1">
      <alignment horizontal="center"/>
      <protection locked="0"/>
    </xf>
    <xf numFmtId="0" fontId="1" fillId="2" borderId="0" xfId="0" applyFont="1" applyFill="1" applyBorder="1" applyAlignment="1">
      <alignment horizontal="left" vertical="top" wrapText="1"/>
    </xf>
    <xf numFmtId="0" fontId="2" fillId="8" borderId="13" xfId="0" applyFont="1" applyFill="1" applyBorder="1" applyAlignment="1">
      <alignment horizontal="center"/>
    </xf>
    <xf numFmtId="0" fontId="2" fillId="8" borderId="14" xfId="0" applyFont="1" applyFill="1" applyBorder="1" applyAlignment="1">
      <alignment horizontal="center"/>
    </xf>
    <xf numFmtId="0" fontId="2" fillId="8" borderId="15" xfId="0" applyFont="1" applyFill="1" applyBorder="1" applyAlignment="1">
      <alignment horizontal="center"/>
    </xf>
    <xf numFmtId="0" fontId="0" fillId="0" borderId="2"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3" xfId="0" applyBorder="1" applyAlignment="1" applyProtection="1">
      <alignment horizontal="center"/>
      <protection locked="0"/>
    </xf>
    <xf numFmtId="49" fontId="1" fillId="0" borderId="2" xfId="0" applyNumberFormat="1" applyFont="1" applyBorder="1" applyAlignment="1" applyProtection="1">
      <alignment horizontal="center"/>
    </xf>
    <xf numFmtId="49" fontId="1" fillId="0" borderId="10" xfId="0" applyNumberFormat="1" applyFont="1" applyBorder="1" applyAlignment="1" applyProtection="1">
      <alignment horizontal="center"/>
    </xf>
    <xf numFmtId="49" fontId="1" fillId="0" borderId="3" xfId="0" applyNumberFormat="1" applyFont="1" applyBorder="1" applyAlignment="1" applyProtection="1">
      <alignment horizontal="center"/>
    </xf>
    <xf numFmtId="0" fontId="1" fillId="0" borderId="2" xfId="0" applyFont="1" applyBorder="1" applyAlignment="1" applyProtection="1">
      <alignment horizontal="center"/>
    </xf>
    <xf numFmtId="0" fontId="1" fillId="0" borderId="10" xfId="0" applyFont="1" applyBorder="1" applyAlignment="1" applyProtection="1">
      <alignment horizontal="center"/>
    </xf>
    <xf numFmtId="0" fontId="1" fillId="0" borderId="3" xfId="0" applyFont="1" applyBorder="1" applyAlignment="1" applyProtection="1">
      <alignment horizontal="center"/>
    </xf>
    <xf numFmtId="0" fontId="2" fillId="6" borderId="13" xfId="0" applyFont="1" applyFill="1" applyBorder="1" applyAlignment="1">
      <alignment horizontal="center"/>
    </xf>
    <xf numFmtId="0" fontId="2" fillId="6" borderId="15" xfId="0" applyFont="1" applyFill="1" applyBorder="1" applyAlignment="1">
      <alignment horizontal="center"/>
    </xf>
    <xf numFmtId="0" fontId="5" fillId="0" borderId="0" xfId="0" applyFont="1" applyBorder="1" applyAlignment="1">
      <alignment horizontal="left" vertical="center"/>
    </xf>
    <xf numFmtId="49" fontId="1" fillId="0" borderId="2" xfId="0" applyNumberFormat="1" applyFont="1" applyBorder="1" applyAlignment="1" applyProtection="1">
      <alignment horizontal="center"/>
      <protection locked="0"/>
    </xf>
    <xf numFmtId="49" fontId="1" fillId="0" borderId="10" xfId="0" applyNumberFormat="1" applyFont="1" applyBorder="1" applyAlignment="1" applyProtection="1">
      <alignment horizontal="center"/>
      <protection locked="0"/>
    </xf>
    <xf numFmtId="49" fontId="1" fillId="0" borderId="3" xfId="0" applyNumberFormat="1" applyFont="1" applyBorder="1" applyAlignment="1" applyProtection="1">
      <alignment horizontal="center"/>
      <protection locked="0"/>
    </xf>
    <xf numFmtId="0" fontId="2" fillId="0" borderId="0" xfId="0" applyFont="1" applyBorder="1" applyAlignment="1">
      <alignment horizontal="left" vertical="center"/>
    </xf>
    <xf numFmtId="0" fontId="3" fillId="0" borderId="0" xfId="0" applyFont="1" applyBorder="1" applyAlignment="1">
      <alignment horizontal="left" vertical="center"/>
    </xf>
    <xf numFmtId="0" fontId="2" fillId="6" borderId="14" xfId="0" applyFont="1" applyFill="1" applyBorder="1" applyAlignment="1">
      <alignment horizontal="center"/>
    </xf>
    <xf numFmtId="14" fontId="1" fillId="6" borderId="13" xfId="0" applyNumberFormat="1" applyFont="1" applyFill="1" applyBorder="1" applyAlignment="1" applyProtection="1">
      <alignment horizontal="center"/>
      <protection locked="0"/>
    </xf>
    <xf numFmtId="0" fontId="1" fillId="6" borderId="15" xfId="0" applyFont="1" applyFill="1" applyBorder="1" applyAlignment="1" applyProtection="1">
      <alignment horizontal="center"/>
      <protection locked="0"/>
    </xf>
    <xf numFmtId="0" fontId="2" fillId="7" borderId="13" xfId="0" applyFont="1" applyFill="1" applyBorder="1" applyAlignment="1">
      <alignment horizontal="center"/>
    </xf>
    <xf numFmtId="0" fontId="2" fillId="7" borderId="15" xfId="0" applyFont="1" applyFill="1" applyBorder="1" applyAlignment="1">
      <alignment horizontal="center"/>
    </xf>
    <xf numFmtId="0" fontId="1" fillId="7" borderId="13" xfId="0" applyFont="1" applyFill="1" applyBorder="1" applyAlignment="1" applyProtection="1">
      <alignment horizontal="center"/>
      <protection locked="0"/>
    </xf>
    <xf numFmtId="0" fontId="1" fillId="7" borderId="15" xfId="0" applyFont="1" applyFill="1" applyBorder="1" applyAlignment="1" applyProtection="1">
      <alignment horizontal="center"/>
      <protection locked="0"/>
    </xf>
    <xf numFmtId="0" fontId="2" fillId="8" borderId="12" xfId="0" applyFont="1" applyFill="1" applyBorder="1" applyAlignment="1">
      <alignment horizontal="center"/>
    </xf>
    <xf numFmtId="0" fontId="2" fillId="7" borderId="14" xfId="0" applyFont="1" applyFill="1" applyBorder="1" applyAlignment="1">
      <alignment horizontal="center"/>
    </xf>
    <xf numFmtId="0" fontId="1" fillId="0" borderId="12" xfId="0" applyFont="1" applyBorder="1" applyAlignment="1" applyProtection="1">
      <alignment horizontal="center" wrapText="1"/>
      <protection locked="0"/>
    </xf>
    <xf numFmtId="0" fontId="1" fillId="0" borderId="13" xfId="0" applyFont="1" applyBorder="1" applyAlignment="1" applyProtection="1">
      <alignment horizontal="center" wrapText="1"/>
      <protection locked="0"/>
    </xf>
    <xf numFmtId="0" fontId="1" fillId="0" borderId="15" xfId="0" applyFont="1" applyBorder="1" applyAlignment="1" applyProtection="1">
      <alignment horizontal="center" wrapText="1"/>
      <protection locked="0"/>
    </xf>
    <xf numFmtId="0" fontId="11" fillId="0" borderId="11" xfId="0" applyFont="1" applyBorder="1" applyAlignment="1">
      <alignment horizontal="center"/>
    </xf>
    <xf numFmtId="0" fontId="6" fillId="0" borderId="12" xfId="0" applyFont="1" applyBorder="1" applyAlignment="1">
      <alignment horizontal="center" vertical="center" wrapText="1"/>
    </xf>
    <xf numFmtId="0" fontId="1" fillId="0" borderId="14" xfId="0" applyFont="1" applyBorder="1" applyAlignment="1" applyProtection="1">
      <alignment horizontal="center" wrapText="1"/>
      <protection locked="0"/>
    </xf>
    <xf numFmtId="0" fontId="5" fillId="0" borderId="0" xfId="0" applyFont="1" applyAlignment="1">
      <alignment horizontal="center" wrapText="1"/>
    </xf>
    <xf numFmtId="0" fontId="6" fillId="0" borderId="13" xfId="0" applyFont="1" applyBorder="1" applyAlignment="1">
      <alignment horizontal="center" wrapText="1"/>
    </xf>
    <xf numFmtId="0" fontId="6" fillId="0" borderId="15" xfId="0" applyFont="1" applyBorder="1" applyAlignment="1">
      <alignment horizontal="center" wrapText="1"/>
    </xf>
    <xf numFmtId="0" fontId="2" fillId="9" borderId="13" xfId="0" applyFont="1" applyFill="1" applyBorder="1" applyAlignment="1">
      <alignment horizontal="center"/>
    </xf>
    <xf numFmtId="0" fontId="2" fillId="9" borderId="15" xfId="0" applyFont="1" applyFill="1" applyBorder="1" applyAlignment="1">
      <alignment horizontal="center"/>
    </xf>
    <xf numFmtId="0" fontId="2" fillId="9" borderId="14" xfId="0" applyFont="1" applyFill="1" applyBorder="1" applyAlignment="1">
      <alignment horizontal="center"/>
    </xf>
    <xf numFmtId="0" fontId="1" fillId="0" borderId="13" xfId="0" applyFont="1" applyBorder="1" applyAlignment="1" applyProtection="1">
      <alignment horizontal="left"/>
      <protection locked="0"/>
    </xf>
    <xf numFmtId="0" fontId="1" fillId="0" borderId="14" xfId="0" applyFont="1" applyBorder="1" applyAlignment="1" applyProtection="1">
      <alignment horizontal="left"/>
      <protection locked="0"/>
    </xf>
    <xf numFmtId="0" fontId="1" fillId="0" borderId="15" xfId="0" applyFont="1" applyBorder="1" applyAlignment="1" applyProtection="1">
      <alignment horizontal="left"/>
      <protection locked="0"/>
    </xf>
    <xf numFmtId="0" fontId="1" fillId="0" borderId="0" xfId="0" applyFont="1" applyAlignment="1">
      <alignment horizontal="left" vertical="top"/>
    </xf>
    <xf numFmtId="0" fontId="2"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horizontal="left" vertical="top" wrapText="1"/>
    </xf>
    <xf numFmtId="0" fontId="1" fillId="0" borderId="13" xfId="0" applyFont="1" applyBorder="1" applyAlignment="1">
      <alignment horizontal="center"/>
    </xf>
    <xf numFmtId="0" fontId="1" fillId="0" borderId="14"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0" xfId="0" applyFont="1" applyBorder="1" applyAlignment="1">
      <alignment horizontal="left" wrapText="1"/>
    </xf>
    <xf numFmtId="0" fontId="1" fillId="6" borderId="13" xfId="0" applyFont="1" applyFill="1" applyBorder="1" applyAlignment="1" applyProtection="1">
      <alignment horizontal="center"/>
      <protection locked="0"/>
    </xf>
    <xf numFmtId="0" fontId="1" fillId="9" borderId="13" xfId="0" applyFont="1" applyFill="1" applyBorder="1" applyAlignment="1" applyProtection="1">
      <alignment horizontal="center"/>
      <protection locked="0"/>
    </xf>
    <xf numFmtId="0" fontId="1" fillId="9" borderId="15" xfId="0" applyFont="1" applyFill="1" applyBorder="1" applyAlignment="1" applyProtection="1">
      <alignment horizontal="center"/>
      <protection locked="0"/>
    </xf>
    <xf numFmtId="0" fontId="2" fillId="0" borderId="14" xfId="0" applyFont="1" applyBorder="1" applyAlignment="1">
      <alignment horizontal="center"/>
    </xf>
    <xf numFmtId="0" fontId="1" fillId="0" borderId="12" xfId="0" applyFont="1" applyBorder="1" applyAlignment="1" applyProtection="1">
      <alignment horizontal="center"/>
      <protection locked="0"/>
    </xf>
    <xf numFmtId="0" fontId="2" fillId="0" borderId="9" xfId="0" applyFont="1" applyBorder="1" applyAlignment="1">
      <alignment horizontal="left" vertical="center"/>
    </xf>
    <xf numFmtId="0" fontId="1" fillId="0" borderId="4" xfId="0" applyFont="1" applyBorder="1" applyAlignment="1" applyProtection="1">
      <alignment horizontal="center"/>
      <protection locked="0"/>
    </xf>
    <xf numFmtId="0" fontId="1" fillId="0" borderId="5" xfId="0" applyFont="1" applyBorder="1" applyAlignment="1" applyProtection="1">
      <alignment horizontal="center"/>
      <protection locked="0"/>
    </xf>
    <xf numFmtId="0" fontId="1" fillId="0" borderId="10" xfId="0" applyFont="1" applyBorder="1" applyAlignment="1" applyProtection="1">
      <alignment horizontal="center"/>
      <protection locked="0"/>
    </xf>
    <xf numFmtId="0" fontId="0" fillId="0" borderId="0" xfId="0" applyAlignment="1">
      <alignment horizontal="left"/>
    </xf>
    <xf numFmtId="0" fontId="2" fillId="0" borderId="12" xfId="0" applyFont="1" applyBorder="1" applyAlignment="1" applyProtection="1">
      <alignment horizontal="center"/>
      <protection locked="0"/>
    </xf>
    <xf numFmtId="0" fontId="2" fillId="0" borderId="0" xfId="0" applyFont="1" applyAlignment="1">
      <alignment horizontal="left" vertical="center" wrapText="1"/>
    </xf>
    <xf numFmtId="49" fontId="2" fillId="0" borderId="12" xfId="0" applyNumberFormat="1" applyFont="1" applyBorder="1" applyAlignment="1" applyProtection="1">
      <alignment horizontal="center"/>
      <protection locked="0"/>
    </xf>
    <xf numFmtId="0" fontId="1" fillId="0" borderId="13" xfId="0" applyFont="1" applyBorder="1" applyAlignment="1" applyProtection="1">
      <alignment horizontal="left" wrapText="1"/>
      <protection locked="0"/>
    </xf>
    <xf numFmtId="0" fontId="0" fillId="0" borderId="15" xfId="0" applyBorder="1" applyAlignment="1" applyProtection="1">
      <alignment horizontal="left" wrapText="1"/>
      <protection locked="0"/>
    </xf>
    <xf numFmtId="0" fontId="2" fillId="0" borderId="13" xfId="0" applyFont="1" applyBorder="1" applyAlignment="1">
      <alignment horizontal="center" wrapText="1"/>
    </xf>
    <xf numFmtId="0" fontId="2" fillId="0" borderId="15" xfId="0" applyFont="1" applyBorder="1" applyAlignment="1">
      <alignment horizontal="center" wrapText="1"/>
    </xf>
    <xf numFmtId="0" fontId="1" fillId="0" borderId="15" xfId="0" applyFont="1" applyBorder="1" applyAlignment="1" applyProtection="1">
      <alignment horizontal="left" wrapText="1"/>
      <protection locked="0"/>
    </xf>
    <xf numFmtId="0" fontId="2" fillId="0" borderId="13" xfId="0" applyFont="1" applyBorder="1" applyAlignment="1">
      <alignment horizontal="left" wrapText="1"/>
    </xf>
    <xf numFmtId="0" fontId="2" fillId="0" borderId="15" xfId="0" applyFont="1" applyBorder="1" applyAlignment="1">
      <alignment horizontal="left" wrapText="1"/>
    </xf>
    <xf numFmtId="0" fontId="1" fillId="6" borderId="12" xfId="0" applyFont="1" applyFill="1" applyBorder="1" applyAlignment="1" applyProtection="1">
      <alignment horizontal="center"/>
      <protection locked="0"/>
    </xf>
    <xf numFmtId="0" fontId="2" fillId="0" borderId="12" xfId="0" applyFont="1" applyBorder="1" applyAlignment="1">
      <alignment horizontal="center" wrapText="1"/>
    </xf>
    <xf numFmtId="0" fontId="1" fillId="0" borderId="21" xfId="0" applyFont="1" applyBorder="1" applyAlignment="1" applyProtection="1">
      <alignment horizontal="left" vertical="top" wrapText="1"/>
      <protection locked="0"/>
    </xf>
    <xf numFmtId="0" fontId="1" fillId="0" borderId="23" xfId="0" applyFont="1" applyBorder="1" applyAlignment="1" applyProtection="1">
      <alignment horizontal="left" vertical="top" wrapText="1"/>
      <protection locked="0"/>
    </xf>
    <xf numFmtId="0" fontId="1" fillId="0" borderId="24" xfId="0" applyFont="1" applyBorder="1" applyAlignment="1" applyProtection="1">
      <alignment horizontal="left" vertical="top" wrapText="1"/>
      <protection locked="0"/>
    </xf>
    <xf numFmtId="0" fontId="1" fillId="0" borderId="25" xfId="0" applyFont="1" applyBorder="1" applyAlignment="1" applyProtection="1">
      <alignment horizontal="left" vertical="top" wrapText="1"/>
      <protection locked="0"/>
    </xf>
    <xf numFmtId="0" fontId="1" fillId="0" borderId="16" xfId="0" applyFont="1" applyBorder="1" applyAlignment="1" applyProtection="1">
      <alignment horizontal="left" vertical="top" wrapText="1"/>
      <protection locked="0"/>
    </xf>
    <xf numFmtId="0" fontId="1" fillId="0" borderId="17" xfId="0" applyFont="1" applyBorder="1" applyAlignment="1" applyProtection="1">
      <alignment horizontal="left" vertical="top" wrapText="1"/>
      <protection locked="0"/>
    </xf>
    <xf numFmtId="0" fontId="1" fillId="6" borderId="21" xfId="0" applyFont="1" applyFill="1" applyBorder="1" applyAlignment="1" applyProtection="1">
      <alignment horizontal="center"/>
      <protection locked="0"/>
    </xf>
    <xf numFmtId="0" fontId="1" fillId="6" borderId="22" xfId="0" applyFont="1" applyFill="1" applyBorder="1" applyAlignment="1" applyProtection="1">
      <alignment horizontal="center"/>
      <protection locked="0"/>
    </xf>
    <xf numFmtId="0" fontId="1" fillId="6" borderId="23" xfId="0" applyFont="1" applyFill="1" applyBorder="1" applyAlignment="1" applyProtection="1">
      <alignment horizontal="center"/>
      <protection locked="0"/>
    </xf>
    <xf numFmtId="0" fontId="1" fillId="6" borderId="24" xfId="0" applyFont="1" applyFill="1" applyBorder="1" applyAlignment="1" applyProtection="1">
      <alignment horizontal="center"/>
      <protection locked="0"/>
    </xf>
    <xf numFmtId="0" fontId="1" fillId="6" borderId="0" xfId="0" applyFont="1" applyFill="1" applyBorder="1" applyAlignment="1" applyProtection="1">
      <alignment horizontal="center"/>
      <protection locked="0"/>
    </xf>
    <xf numFmtId="0" fontId="1" fillId="6" borderId="25" xfId="0" applyFont="1" applyFill="1" applyBorder="1" applyAlignment="1" applyProtection="1">
      <alignment horizontal="center"/>
      <protection locked="0"/>
    </xf>
    <xf numFmtId="0" fontId="1" fillId="6" borderId="16" xfId="0" applyFont="1" applyFill="1" applyBorder="1" applyAlignment="1" applyProtection="1">
      <alignment horizontal="center"/>
      <protection locked="0"/>
    </xf>
    <xf numFmtId="0" fontId="1" fillId="6" borderId="11" xfId="0" applyFont="1" applyFill="1" applyBorder="1" applyAlignment="1" applyProtection="1">
      <alignment horizontal="center"/>
      <protection locked="0"/>
    </xf>
    <xf numFmtId="0" fontId="1" fillId="6" borderId="17" xfId="0" applyFont="1" applyFill="1" applyBorder="1" applyAlignment="1" applyProtection="1">
      <alignment horizontal="center"/>
      <protection locked="0"/>
    </xf>
    <xf numFmtId="0" fontId="1" fillId="0" borderId="13" xfId="0" applyFont="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1" fillId="0" borderId="15" xfId="0" applyFont="1" applyBorder="1" applyAlignment="1" applyProtection="1">
      <alignment horizontal="left" vertical="center" wrapText="1"/>
      <protection locked="0"/>
    </xf>
    <xf numFmtId="0" fontId="2" fillId="0" borderId="0" xfId="0" applyFont="1" applyAlignment="1">
      <alignment horizontal="left" vertical="center"/>
    </xf>
  </cellXfs>
  <cellStyles count="2">
    <cellStyle name="=C:\WINNT\SYSTEM32\COMMAND.COM" xfId="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image" Target="../media/image6.png"/><Relationship Id="rId4"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4</xdr:row>
          <xdr:rowOff>9525</xdr:rowOff>
        </xdr:from>
        <xdr:to>
          <xdr:col>11</xdr:col>
          <xdr:colOff>9525</xdr:colOff>
          <xdr:row>7</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Overseas Business Travel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xdr:row>
          <xdr:rowOff>0</xdr:rowOff>
        </xdr:from>
        <xdr:to>
          <xdr:col>11</xdr:col>
          <xdr:colOff>0</xdr:colOff>
          <xdr:row>13</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Relocation Expense Form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16</xdr:row>
          <xdr:rowOff>9525</xdr:rowOff>
        </xdr:from>
        <xdr:to>
          <xdr:col>11</xdr:col>
          <xdr:colOff>0</xdr:colOff>
          <xdr:row>19</xdr:row>
          <xdr:rowOff>9525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Corporate Credit Card Expense</a:t>
              </a:r>
            </a:p>
          </xdr:txBody>
        </xdr:sp>
        <xdr:clientData fPrintsWithSheet="0"/>
      </xdr:twoCellAnchor>
    </mc:Choice>
    <mc:Fallback/>
  </mc:AlternateContent>
  <xdr:twoCellAnchor editAs="oneCell">
    <xdr:from>
      <xdr:col>1</xdr:col>
      <xdr:colOff>0</xdr:colOff>
      <xdr:row>0</xdr:row>
      <xdr:rowOff>123825</xdr:rowOff>
    </xdr:from>
    <xdr:to>
      <xdr:col>3</xdr:col>
      <xdr:colOff>85562</xdr:colOff>
      <xdr:row>2</xdr:row>
      <xdr:rowOff>114254</xdr:rowOff>
    </xdr:to>
    <xdr:pic>
      <xdr:nvPicPr>
        <xdr:cNvPr id="9" name="Picture 8"/>
        <xdr:cNvPicPr>
          <a:picLocks noChangeAspect="1"/>
        </xdr:cNvPicPr>
      </xdr:nvPicPr>
      <xdr:blipFill>
        <a:blip xmlns:r="http://schemas.openxmlformats.org/officeDocument/2006/relationships" r:embed="rId1"/>
        <a:stretch>
          <a:fillRect/>
        </a:stretch>
      </xdr:blipFill>
      <xdr:spPr>
        <a:xfrm>
          <a:off x="609600" y="123825"/>
          <a:ext cx="1304762" cy="371429"/>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4</xdr:row>
          <xdr:rowOff>9525</xdr:rowOff>
        </xdr:from>
        <xdr:to>
          <xdr:col>23</xdr:col>
          <xdr:colOff>0</xdr:colOff>
          <xdr:row>7</xdr:row>
          <xdr:rowOff>9525</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Domestic Business Travel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10</xdr:row>
          <xdr:rowOff>9525</xdr:rowOff>
        </xdr:from>
        <xdr:to>
          <xdr:col>23</xdr:col>
          <xdr:colOff>0</xdr:colOff>
          <xdr:row>13</xdr:row>
          <xdr:rowOff>9525</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Relocation Expense Form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16</xdr:row>
          <xdr:rowOff>9525</xdr:rowOff>
        </xdr:from>
        <xdr:to>
          <xdr:col>23</xdr:col>
          <xdr:colOff>0</xdr:colOff>
          <xdr:row>19</xdr:row>
          <xdr:rowOff>9525</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Other Expense</a:t>
              </a:r>
            </a:p>
          </xdr:txBody>
        </xdr:sp>
        <xdr:clientData fPrintsWithSheet="0"/>
      </xdr:twoCellAnchor>
    </mc:Choice>
    <mc:Fallback/>
  </mc:AlternateContent>
  <xdr:twoCellAnchor>
    <xdr:from>
      <xdr:col>0</xdr:col>
      <xdr:colOff>200025</xdr:colOff>
      <xdr:row>2</xdr:row>
      <xdr:rowOff>133350</xdr:rowOff>
    </xdr:from>
    <xdr:to>
      <xdr:col>0</xdr:col>
      <xdr:colOff>552450</xdr:colOff>
      <xdr:row>4</xdr:row>
      <xdr:rowOff>38100</xdr:rowOff>
    </xdr:to>
    <xdr:sp macro="" textlink="">
      <xdr:nvSpPr>
        <xdr:cNvPr id="2" name="Oval 1"/>
        <xdr:cNvSpPr/>
      </xdr:nvSpPr>
      <xdr:spPr>
        <a:xfrm>
          <a:off x="200025" y="514350"/>
          <a:ext cx="352425" cy="295275"/>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t>1</a:t>
          </a:r>
        </a:p>
      </xdr:txBody>
    </xdr:sp>
    <xdr:clientData/>
  </xdr:twoCellAnchor>
  <xdr:twoCellAnchor>
    <xdr:from>
      <xdr:col>12</xdr:col>
      <xdr:colOff>200025</xdr:colOff>
      <xdr:row>2</xdr:row>
      <xdr:rowOff>133350</xdr:rowOff>
    </xdr:from>
    <xdr:to>
      <xdr:col>12</xdr:col>
      <xdr:colOff>552450</xdr:colOff>
      <xdr:row>4</xdr:row>
      <xdr:rowOff>38100</xdr:rowOff>
    </xdr:to>
    <xdr:sp macro="" textlink="">
      <xdr:nvSpPr>
        <xdr:cNvPr id="10" name="Oval 9"/>
        <xdr:cNvSpPr/>
      </xdr:nvSpPr>
      <xdr:spPr>
        <a:xfrm>
          <a:off x="6924675" y="514350"/>
          <a:ext cx="352425" cy="295275"/>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n-US" sz="1200">
              <a:solidFill>
                <a:schemeClr val="lt1"/>
              </a:solidFill>
              <a:latin typeface="+mn-lt"/>
              <a:ea typeface="+mn-ea"/>
              <a:cs typeface="+mn-cs"/>
            </a:rPr>
            <a:t>2</a:t>
          </a:r>
        </a:p>
      </xdr:txBody>
    </xdr:sp>
    <xdr:clientData/>
  </xdr:twoCellAnchor>
  <xdr:twoCellAnchor>
    <xdr:from>
      <xdr:col>0</xdr:col>
      <xdr:colOff>219075</xdr:colOff>
      <xdr:row>8</xdr:row>
      <xdr:rowOff>104775</xdr:rowOff>
    </xdr:from>
    <xdr:to>
      <xdr:col>0</xdr:col>
      <xdr:colOff>571500</xdr:colOff>
      <xdr:row>10</xdr:row>
      <xdr:rowOff>9525</xdr:rowOff>
    </xdr:to>
    <xdr:sp macro="" textlink="">
      <xdr:nvSpPr>
        <xdr:cNvPr id="11" name="Oval 10"/>
        <xdr:cNvSpPr/>
      </xdr:nvSpPr>
      <xdr:spPr>
        <a:xfrm>
          <a:off x="219075" y="1647825"/>
          <a:ext cx="352425" cy="295275"/>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n-US" sz="1200">
              <a:solidFill>
                <a:schemeClr val="lt1"/>
              </a:solidFill>
              <a:latin typeface="+mn-lt"/>
              <a:ea typeface="+mn-ea"/>
              <a:cs typeface="+mn-cs"/>
            </a:rPr>
            <a:t>3</a:t>
          </a:r>
        </a:p>
      </xdr:txBody>
    </xdr:sp>
    <xdr:clientData/>
  </xdr:twoCellAnchor>
  <xdr:twoCellAnchor>
    <xdr:from>
      <xdr:col>12</xdr:col>
      <xdr:colOff>219075</xdr:colOff>
      <xdr:row>8</xdr:row>
      <xdr:rowOff>104775</xdr:rowOff>
    </xdr:from>
    <xdr:to>
      <xdr:col>12</xdr:col>
      <xdr:colOff>571500</xdr:colOff>
      <xdr:row>10</xdr:row>
      <xdr:rowOff>9525</xdr:rowOff>
    </xdr:to>
    <xdr:sp macro="" textlink="">
      <xdr:nvSpPr>
        <xdr:cNvPr id="12" name="Oval 11"/>
        <xdr:cNvSpPr/>
      </xdr:nvSpPr>
      <xdr:spPr>
        <a:xfrm>
          <a:off x="6943725" y="1647825"/>
          <a:ext cx="352425" cy="295275"/>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n-US" sz="1200">
              <a:solidFill>
                <a:schemeClr val="lt1"/>
              </a:solidFill>
              <a:latin typeface="+mn-lt"/>
              <a:ea typeface="+mn-ea"/>
              <a:cs typeface="+mn-cs"/>
            </a:rPr>
            <a:t>4</a:t>
          </a:r>
        </a:p>
      </xdr:txBody>
    </xdr:sp>
    <xdr:clientData/>
  </xdr:twoCellAnchor>
  <xdr:twoCellAnchor>
    <xdr:from>
      <xdr:col>0</xdr:col>
      <xdr:colOff>209550</xdr:colOff>
      <xdr:row>14</xdr:row>
      <xdr:rowOff>85725</xdr:rowOff>
    </xdr:from>
    <xdr:to>
      <xdr:col>0</xdr:col>
      <xdr:colOff>561975</xdr:colOff>
      <xdr:row>15</xdr:row>
      <xdr:rowOff>180975</xdr:rowOff>
    </xdr:to>
    <xdr:sp macro="" textlink="">
      <xdr:nvSpPr>
        <xdr:cNvPr id="13" name="Oval 12"/>
        <xdr:cNvSpPr/>
      </xdr:nvSpPr>
      <xdr:spPr>
        <a:xfrm>
          <a:off x="209550" y="2790825"/>
          <a:ext cx="352425" cy="295275"/>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n-US" sz="1200">
              <a:solidFill>
                <a:schemeClr val="lt1"/>
              </a:solidFill>
              <a:latin typeface="+mn-lt"/>
              <a:ea typeface="+mn-ea"/>
              <a:cs typeface="+mn-cs"/>
            </a:rPr>
            <a:t>5</a:t>
          </a:r>
        </a:p>
      </xdr:txBody>
    </xdr:sp>
    <xdr:clientData/>
  </xdr:twoCellAnchor>
  <xdr:twoCellAnchor>
    <xdr:from>
      <xdr:col>12</xdr:col>
      <xdr:colOff>209550</xdr:colOff>
      <xdr:row>14</xdr:row>
      <xdr:rowOff>85725</xdr:rowOff>
    </xdr:from>
    <xdr:to>
      <xdr:col>12</xdr:col>
      <xdr:colOff>561975</xdr:colOff>
      <xdr:row>15</xdr:row>
      <xdr:rowOff>180975</xdr:rowOff>
    </xdr:to>
    <xdr:sp macro="" textlink="">
      <xdr:nvSpPr>
        <xdr:cNvPr id="14" name="Oval 13"/>
        <xdr:cNvSpPr/>
      </xdr:nvSpPr>
      <xdr:spPr>
        <a:xfrm>
          <a:off x="6934200" y="2790825"/>
          <a:ext cx="352425" cy="295275"/>
        </a:xfrm>
        <a:prstGeom prst="ellipse">
          <a:avLst/>
        </a:prstGeom>
        <a:solidFill>
          <a:srgbClr val="FF0000"/>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marL="0" indent="0" algn="ctr"/>
          <a:r>
            <a:rPr lang="en-US" sz="1200">
              <a:solidFill>
                <a:schemeClr val="lt1"/>
              </a:solidFill>
              <a:latin typeface="+mn-lt"/>
              <a:ea typeface="+mn-ea"/>
              <a:cs typeface="+mn-cs"/>
            </a:rPr>
            <a:t>6</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136072</xdr:colOff>
      <xdr:row>1</xdr:row>
      <xdr:rowOff>95249</xdr:rowOff>
    </xdr:from>
    <xdr:to>
      <xdr:col>15</xdr:col>
      <xdr:colOff>102054</xdr:colOff>
      <xdr:row>5</xdr:row>
      <xdr:rowOff>129268</xdr:rowOff>
    </xdr:to>
    <xdr:grpSp>
      <xdr:nvGrpSpPr>
        <xdr:cNvPr id="4" name="Group 3"/>
        <xdr:cNvGrpSpPr/>
      </xdr:nvGrpSpPr>
      <xdr:grpSpPr>
        <a:xfrm>
          <a:off x="8586108" y="285749"/>
          <a:ext cx="578303" cy="727983"/>
          <a:chOff x="415019" y="238124"/>
          <a:chExt cx="578303" cy="727983"/>
        </a:xfrm>
      </xdr:grpSpPr>
      <xdr:sp macro="[0]!GoTo_Home" textlink="">
        <xdr:nvSpPr>
          <xdr:cNvPr id="3" name="Rectangle 2"/>
          <xdr:cNvSpPr/>
        </xdr:nvSpPr>
        <xdr:spPr>
          <a:xfrm>
            <a:off x="415019" y="680356"/>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Home</a:t>
            </a:r>
          </a:p>
          <a:p>
            <a:pPr algn="l"/>
            <a:endParaRPr lang="en-US" sz="1200" b="1">
              <a:solidFill>
                <a:srgbClr val="FF0000"/>
              </a:solidFill>
              <a:latin typeface="Times New Roman" panose="02020603050405020304" pitchFamily="18" charset="0"/>
              <a:cs typeface="Times New Roman" panose="02020603050405020304" pitchFamily="18" charset="0"/>
            </a:endParaRPr>
          </a:p>
        </xdr:txBody>
      </xdr:sp>
      <xdr:pic macro="[0]!GoTo_Home">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4" y="238124"/>
            <a:ext cx="522514" cy="522514"/>
          </a:xfrm>
          <a:prstGeom prst="rect">
            <a:avLst/>
          </a:prstGeom>
          <a:solidFill>
            <a:srgbClr val="FF0000"/>
          </a:solidFill>
        </xdr:spPr>
      </xdr:pic>
    </xdr:grpSp>
    <xdr:clientData/>
  </xdr:twoCellAnchor>
  <xdr:twoCellAnchor editAs="oneCell">
    <xdr:from>
      <xdr:col>1</xdr:col>
      <xdr:colOff>176892</xdr:colOff>
      <xdr:row>1</xdr:row>
      <xdr:rowOff>61231</xdr:rowOff>
    </xdr:from>
    <xdr:to>
      <xdr:col>4</xdr:col>
      <xdr:colOff>12083</xdr:colOff>
      <xdr:row>3</xdr:row>
      <xdr:rowOff>133303</xdr:rowOff>
    </xdr:to>
    <xdr:pic>
      <xdr:nvPicPr>
        <xdr:cNvPr id="5" name="Picture 4"/>
        <xdr:cNvPicPr>
          <a:picLocks noChangeAspect="1"/>
        </xdr:cNvPicPr>
      </xdr:nvPicPr>
      <xdr:blipFill>
        <a:blip xmlns:r="http://schemas.openxmlformats.org/officeDocument/2006/relationships" r:embed="rId2"/>
        <a:stretch>
          <a:fillRect/>
        </a:stretch>
      </xdr:blipFill>
      <xdr:spPr>
        <a:xfrm>
          <a:off x="421821" y="251731"/>
          <a:ext cx="1304762" cy="371429"/>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364672</xdr:colOff>
          <xdr:row>18</xdr:row>
          <xdr:rowOff>5444</xdr:rowOff>
        </xdr:from>
        <xdr:to>
          <xdr:col>8</xdr:col>
          <xdr:colOff>541565</xdr:colOff>
          <xdr:row>19</xdr:row>
          <xdr:rowOff>9525</xdr:rowOff>
        </xdr:to>
        <xdr:grpSp>
          <xdr:nvGrpSpPr>
            <xdr:cNvPr id="7" name="Group 6"/>
            <xdr:cNvGrpSpPr/>
          </xdr:nvGrpSpPr>
          <xdr:grpSpPr>
            <a:xfrm>
              <a:off x="4161065" y="3216730"/>
              <a:ext cx="1027339" cy="194581"/>
              <a:chOff x="4161065" y="3243944"/>
              <a:chExt cx="1027339" cy="194581"/>
            </a:xfrm>
          </xdr:grpSpPr>
          <xdr:sp macro="" textlink="">
            <xdr:nvSpPr>
              <xdr:cNvPr id="1044" name="OptionButton1" hidden="1">
                <a:extLst>
                  <a:ext uri="{63B3BB69-23CF-44E3-9099-C40C66FF867C}">
                    <a14:compatExt spid="_x0000_s1044"/>
                  </a:ext>
                </a:extLst>
              </xdr:cNvPr>
              <xdr:cNvSpPr/>
            </xdr:nvSpPr>
            <xdr:spPr bwMode="auto">
              <a:xfrm>
                <a:off x="4161065" y="3248025"/>
                <a:ext cx="465364" cy="190500"/>
              </a:xfrm>
              <a:prstGeom prst="rect">
                <a:avLst/>
              </a:prstGeom>
              <a:noFill/>
              <a:ln>
                <a:noFill/>
              </a:ln>
              <a:extLst>
                <a:ext uri="{91240B29-F687-4F45-9708-019B960494DF}">
                  <a14:hiddenLine w="9525">
                    <a:noFill/>
                    <a:miter lim="800000"/>
                    <a:headEnd/>
                    <a:tailEnd/>
                  </a14:hiddenLine>
                </a:ext>
              </a:extLst>
            </xdr:spPr>
          </xdr:sp>
          <xdr:sp macro="" textlink="">
            <xdr:nvSpPr>
              <xdr:cNvPr id="1045" name="OptionButton2" hidden="1">
                <a:extLst>
                  <a:ext uri="{63B3BB69-23CF-44E3-9099-C40C66FF867C}">
                    <a14:compatExt spid="_x0000_s1045"/>
                  </a:ext>
                </a:extLst>
              </xdr:cNvPr>
              <xdr:cNvSpPr/>
            </xdr:nvSpPr>
            <xdr:spPr bwMode="auto">
              <a:xfrm>
                <a:off x="4718958" y="3243944"/>
                <a:ext cx="469446"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374197</xdr:colOff>
          <xdr:row>23</xdr:row>
          <xdr:rowOff>1362</xdr:rowOff>
        </xdr:from>
        <xdr:to>
          <xdr:col>8</xdr:col>
          <xdr:colOff>551090</xdr:colOff>
          <xdr:row>24</xdr:row>
          <xdr:rowOff>5443</xdr:rowOff>
        </xdr:to>
        <xdr:grpSp>
          <xdr:nvGrpSpPr>
            <xdr:cNvPr id="9" name="Group 8"/>
            <xdr:cNvGrpSpPr/>
          </xdr:nvGrpSpPr>
          <xdr:grpSpPr>
            <a:xfrm>
              <a:off x="4170590" y="4165148"/>
              <a:ext cx="1027339" cy="194581"/>
              <a:chOff x="4170590" y="4192362"/>
              <a:chExt cx="1027339" cy="194581"/>
            </a:xfrm>
          </xdr:grpSpPr>
          <xdr:sp macro="" textlink="">
            <xdr:nvSpPr>
              <xdr:cNvPr id="1046" name="OptionButton3" hidden="1">
                <a:extLst>
                  <a:ext uri="{63B3BB69-23CF-44E3-9099-C40C66FF867C}">
                    <a14:compatExt spid="_x0000_s1046"/>
                  </a:ext>
                </a:extLst>
              </xdr:cNvPr>
              <xdr:cNvSpPr/>
            </xdr:nvSpPr>
            <xdr:spPr bwMode="auto">
              <a:xfrm>
                <a:off x="4170590" y="4196443"/>
                <a:ext cx="465364" cy="190500"/>
              </a:xfrm>
              <a:prstGeom prst="rect">
                <a:avLst/>
              </a:prstGeom>
              <a:noFill/>
              <a:ln>
                <a:noFill/>
              </a:ln>
              <a:extLst>
                <a:ext uri="{91240B29-F687-4F45-9708-019B960494DF}">
                  <a14:hiddenLine w="9525">
                    <a:noFill/>
                    <a:miter lim="800000"/>
                    <a:headEnd/>
                    <a:tailEnd/>
                  </a14:hiddenLine>
                </a:ext>
              </a:extLst>
            </xdr:spPr>
          </xdr:sp>
          <xdr:sp macro="" textlink="">
            <xdr:nvSpPr>
              <xdr:cNvPr id="1047" name="OptionButton4" hidden="1">
                <a:extLst>
                  <a:ext uri="{63B3BB69-23CF-44E3-9099-C40C66FF867C}">
                    <a14:compatExt spid="_x0000_s1047"/>
                  </a:ext>
                </a:extLst>
              </xdr:cNvPr>
              <xdr:cNvSpPr/>
            </xdr:nvSpPr>
            <xdr:spPr bwMode="auto">
              <a:xfrm>
                <a:off x="4728483" y="4192362"/>
                <a:ext cx="469446"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457200</xdr:colOff>
          <xdr:row>17</xdr:row>
          <xdr:rowOff>114300</xdr:rowOff>
        </xdr:from>
        <xdr:to>
          <xdr:col>15</xdr:col>
          <xdr:colOff>257175</xdr:colOff>
          <xdr:row>19</xdr:row>
          <xdr:rowOff>47625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Advance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466725</xdr:colOff>
          <xdr:row>24</xdr:row>
          <xdr:rowOff>142875</xdr:rowOff>
        </xdr:from>
        <xdr:to>
          <xdr:col>15</xdr:col>
          <xdr:colOff>266700</xdr:colOff>
          <xdr:row>26</xdr:row>
          <xdr:rowOff>76200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Expenses</a:t>
              </a:r>
            </a:p>
          </xdr:txBody>
        </xdr:sp>
        <xdr:clientData fPrintsWithSheet="0"/>
      </xdr:twoCellAnchor>
    </mc:Choice>
    <mc:Fallback/>
  </mc:AlternateContent>
  <xdr:twoCellAnchor>
    <xdr:from>
      <xdr:col>13</xdr:col>
      <xdr:colOff>251733</xdr:colOff>
      <xdr:row>17</xdr:row>
      <xdr:rowOff>74839</xdr:rowOff>
    </xdr:from>
    <xdr:to>
      <xdr:col>15</xdr:col>
      <xdr:colOff>353787</xdr:colOff>
      <xdr:row>20</xdr:row>
      <xdr:rowOff>81643</xdr:rowOff>
    </xdr:to>
    <xdr:sp macro="" textlink="">
      <xdr:nvSpPr>
        <xdr:cNvPr id="11" name="Rectangle 10"/>
        <xdr:cNvSpPr/>
      </xdr:nvSpPr>
      <xdr:spPr>
        <a:xfrm>
          <a:off x="8090808" y="3122839"/>
          <a:ext cx="1321254" cy="57830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378280</xdr:colOff>
      <xdr:row>24</xdr:row>
      <xdr:rowOff>83004</xdr:rowOff>
    </xdr:from>
    <xdr:to>
      <xdr:col>15</xdr:col>
      <xdr:colOff>472169</xdr:colOff>
      <xdr:row>27</xdr:row>
      <xdr:rowOff>89808</xdr:rowOff>
    </xdr:to>
    <xdr:sp macro="" textlink="">
      <xdr:nvSpPr>
        <xdr:cNvPr id="18" name="Rectangle 17"/>
        <xdr:cNvSpPr/>
      </xdr:nvSpPr>
      <xdr:spPr>
        <a:xfrm>
          <a:off x="8217355" y="4464504"/>
          <a:ext cx="1313089" cy="57830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170089</xdr:colOff>
      <xdr:row>6</xdr:row>
      <xdr:rowOff>142877</xdr:rowOff>
    </xdr:from>
    <xdr:to>
      <xdr:col>15</xdr:col>
      <xdr:colOff>136071</xdr:colOff>
      <xdr:row>10</xdr:row>
      <xdr:rowOff>47625</xdr:rowOff>
    </xdr:to>
    <xdr:grpSp>
      <xdr:nvGrpSpPr>
        <xdr:cNvPr id="19" name="Group 18"/>
        <xdr:cNvGrpSpPr/>
      </xdr:nvGrpSpPr>
      <xdr:grpSpPr>
        <a:xfrm>
          <a:off x="8620125" y="1224645"/>
          <a:ext cx="578303" cy="693962"/>
          <a:chOff x="8620126" y="1238250"/>
          <a:chExt cx="578303" cy="693962"/>
        </a:xfrm>
      </xdr:grpSpPr>
      <xdr:pic macro="[0]!PrintIntBizTravel">
        <xdr:nvPicPr>
          <xdr:cNvPr id="20" name="Picture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67750" y="1238250"/>
            <a:ext cx="457200" cy="457200"/>
          </a:xfrm>
          <a:prstGeom prst="rect">
            <a:avLst/>
          </a:prstGeom>
        </xdr:spPr>
      </xdr:pic>
      <xdr:sp macro="[0]!PrintIntBizTravel" textlink="">
        <xdr:nvSpPr>
          <xdr:cNvPr id="21" name="Rectangle 20"/>
          <xdr:cNvSpPr/>
        </xdr:nvSpPr>
        <xdr:spPr>
          <a:xfrm>
            <a:off x="8620126" y="1646461"/>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Print</a:t>
            </a:r>
          </a:p>
        </xdr:txBody>
      </xdr:sp>
    </xdr:grpSp>
    <xdr:clientData/>
  </xdr:twoCellAnchor>
  <xdr:twoCellAnchor>
    <xdr:from>
      <xdr:col>15</xdr:col>
      <xdr:colOff>415018</xdr:colOff>
      <xdr:row>2</xdr:row>
      <xdr:rowOff>0</xdr:rowOff>
    </xdr:from>
    <xdr:to>
      <xdr:col>16</xdr:col>
      <xdr:colOff>435430</xdr:colOff>
      <xdr:row>5</xdr:row>
      <xdr:rowOff>129265</xdr:rowOff>
    </xdr:to>
    <xdr:grpSp>
      <xdr:nvGrpSpPr>
        <xdr:cNvPr id="23" name="Group 22"/>
        <xdr:cNvGrpSpPr/>
      </xdr:nvGrpSpPr>
      <xdr:grpSpPr>
        <a:xfrm>
          <a:off x="9477375" y="292554"/>
          <a:ext cx="632734" cy="721175"/>
          <a:chOff x="9545409" y="217716"/>
          <a:chExt cx="632734" cy="721175"/>
        </a:xfrm>
      </xdr:grpSpPr>
      <xdr:pic macro="[0]!SaveFile">
        <xdr:nvPicPr>
          <xdr:cNvPr id="24" name="Picture 2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45409" y="217716"/>
            <a:ext cx="594360" cy="594360"/>
          </a:xfrm>
          <a:prstGeom prst="rect">
            <a:avLst/>
          </a:prstGeom>
        </xdr:spPr>
      </xdr:pic>
      <xdr:sp macro="[0]!SaveFile" textlink="">
        <xdr:nvSpPr>
          <xdr:cNvPr id="25" name="Rectangle 24"/>
          <xdr:cNvSpPr/>
        </xdr:nvSpPr>
        <xdr:spPr>
          <a:xfrm>
            <a:off x="9599840" y="653140"/>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Save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76729</xdr:colOff>
      <xdr:row>0</xdr:row>
      <xdr:rowOff>76729</xdr:rowOff>
    </xdr:from>
    <xdr:to>
      <xdr:col>2</xdr:col>
      <xdr:colOff>293687</xdr:colOff>
      <xdr:row>3</xdr:row>
      <xdr:rowOff>66146</xdr:rowOff>
    </xdr:to>
    <xdr:sp macro="[0]!LeftArrow_IntAdvance" textlink="">
      <xdr:nvSpPr>
        <xdr:cNvPr id="3" name="Left Arrow 2"/>
        <xdr:cNvSpPr/>
      </xdr:nvSpPr>
      <xdr:spPr>
        <a:xfrm>
          <a:off x="354542" y="76729"/>
          <a:ext cx="994833" cy="560917"/>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63501</xdr:colOff>
      <xdr:row>0</xdr:row>
      <xdr:rowOff>84667</xdr:rowOff>
    </xdr:from>
    <xdr:to>
      <xdr:col>1</xdr:col>
      <xdr:colOff>1058334</xdr:colOff>
      <xdr:row>3</xdr:row>
      <xdr:rowOff>74084</xdr:rowOff>
    </xdr:to>
    <xdr:sp macro="[0]!LeftArrow_IntExpense" textlink="">
      <xdr:nvSpPr>
        <xdr:cNvPr id="2" name="Left Arrow 1"/>
        <xdr:cNvSpPr/>
      </xdr:nvSpPr>
      <xdr:spPr>
        <a:xfrm>
          <a:off x="6953251" y="84667"/>
          <a:ext cx="994833" cy="560917"/>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136072</xdr:colOff>
      <xdr:row>1</xdr:row>
      <xdr:rowOff>95247</xdr:rowOff>
    </xdr:from>
    <xdr:to>
      <xdr:col>15</xdr:col>
      <xdr:colOff>102054</xdr:colOff>
      <xdr:row>5</xdr:row>
      <xdr:rowOff>129266</xdr:rowOff>
    </xdr:to>
    <xdr:grpSp>
      <xdr:nvGrpSpPr>
        <xdr:cNvPr id="11" name="Group 10"/>
        <xdr:cNvGrpSpPr/>
      </xdr:nvGrpSpPr>
      <xdr:grpSpPr>
        <a:xfrm>
          <a:off x="8586108" y="285747"/>
          <a:ext cx="578303" cy="727983"/>
          <a:chOff x="415019" y="238124"/>
          <a:chExt cx="578303" cy="727983"/>
        </a:xfrm>
      </xdr:grpSpPr>
      <xdr:sp macro="[0]!GoTo_Home" textlink="">
        <xdr:nvSpPr>
          <xdr:cNvPr id="12" name="Rectangle 11"/>
          <xdr:cNvSpPr/>
        </xdr:nvSpPr>
        <xdr:spPr>
          <a:xfrm>
            <a:off x="415019" y="680356"/>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Home</a:t>
            </a:r>
          </a:p>
          <a:p>
            <a:pPr algn="l"/>
            <a:endParaRPr lang="en-US" sz="1200" b="1">
              <a:solidFill>
                <a:srgbClr val="FF0000"/>
              </a:solidFill>
              <a:latin typeface="Times New Roman" panose="02020603050405020304" pitchFamily="18" charset="0"/>
              <a:cs typeface="Times New Roman" panose="02020603050405020304" pitchFamily="18" charset="0"/>
            </a:endParaRPr>
          </a:p>
        </xdr:txBody>
      </xdr:sp>
      <xdr:pic macro="[0]!GoTo_Home">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4" y="238124"/>
            <a:ext cx="522514" cy="522514"/>
          </a:xfrm>
          <a:prstGeom prst="rect">
            <a:avLst/>
          </a:prstGeom>
          <a:solidFill>
            <a:srgbClr val="FF0000"/>
          </a:solidFill>
        </xdr:spPr>
      </xdr:pic>
    </xdr:grpSp>
    <xdr:clientData/>
  </xdr:twoCellAnchor>
  <xdr:twoCellAnchor editAs="oneCell">
    <xdr:from>
      <xdr:col>1</xdr:col>
      <xdr:colOff>176893</xdr:colOff>
      <xdr:row>1</xdr:row>
      <xdr:rowOff>61231</xdr:rowOff>
    </xdr:from>
    <xdr:to>
      <xdr:col>4</xdr:col>
      <xdr:colOff>12084</xdr:colOff>
      <xdr:row>3</xdr:row>
      <xdr:rowOff>133303</xdr:rowOff>
    </xdr:to>
    <xdr:pic>
      <xdr:nvPicPr>
        <xdr:cNvPr id="15" name="Picture 14"/>
        <xdr:cNvPicPr>
          <a:picLocks noChangeAspect="1"/>
        </xdr:cNvPicPr>
      </xdr:nvPicPr>
      <xdr:blipFill>
        <a:blip xmlns:r="http://schemas.openxmlformats.org/officeDocument/2006/relationships" r:embed="rId2"/>
        <a:stretch>
          <a:fillRect/>
        </a:stretch>
      </xdr:blipFill>
      <xdr:spPr>
        <a:xfrm>
          <a:off x="421822" y="251731"/>
          <a:ext cx="1304762" cy="371429"/>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353785</xdr:colOff>
          <xdr:row>17</xdr:row>
          <xdr:rowOff>6804</xdr:rowOff>
        </xdr:from>
        <xdr:to>
          <xdr:col>8</xdr:col>
          <xdr:colOff>530678</xdr:colOff>
          <xdr:row>18</xdr:row>
          <xdr:rowOff>10885</xdr:rowOff>
        </xdr:to>
        <xdr:grpSp>
          <xdr:nvGrpSpPr>
            <xdr:cNvPr id="14" name="Group 13"/>
            <xdr:cNvGrpSpPr/>
          </xdr:nvGrpSpPr>
          <xdr:grpSpPr>
            <a:xfrm>
              <a:off x="4150178" y="3000375"/>
              <a:ext cx="1027339" cy="194581"/>
              <a:chOff x="4161065" y="3243944"/>
              <a:chExt cx="1027339" cy="194581"/>
            </a:xfrm>
          </xdr:grpSpPr>
          <xdr:sp macro="" textlink="">
            <xdr:nvSpPr>
              <xdr:cNvPr id="10256" name="OptionButton1" hidden="1">
                <a:extLst>
                  <a:ext uri="{63B3BB69-23CF-44E3-9099-C40C66FF867C}">
                    <a14:compatExt spid="_x0000_s10256"/>
                  </a:ext>
                </a:extLst>
              </xdr:cNvPr>
              <xdr:cNvSpPr/>
            </xdr:nvSpPr>
            <xdr:spPr bwMode="auto">
              <a:xfrm>
                <a:off x="4161065" y="3248025"/>
                <a:ext cx="465364" cy="190500"/>
              </a:xfrm>
              <a:prstGeom prst="rect">
                <a:avLst/>
              </a:prstGeom>
              <a:noFill/>
              <a:ln>
                <a:noFill/>
              </a:ln>
              <a:extLst>
                <a:ext uri="{91240B29-F687-4F45-9708-019B960494DF}">
                  <a14:hiddenLine w="9525">
                    <a:noFill/>
                    <a:miter lim="800000"/>
                    <a:headEnd/>
                    <a:tailEnd/>
                  </a14:hiddenLine>
                </a:ext>
              </a:extLst>
            </xdr:spPr>
          </xdr:sp>
          <xdr:sp macro="" textlink="">
            <xdr:nvSpPr>
              <xdr:cNvPr id="10257" name="OptionButton2" hidden="1">
                <a:extLst>
                  <a:ext uri="{63B3BB69-23CF-44E3-9099-C40C66FF867C}">
                    <a14:compatExt spid="_x0000_s10257"/>
                  </a:ext>
                </a:extLst>
              </xdr:cNvPr>
              <xdr:cNvSpPr/>
            </xdr:nvSpPr>
            <xdr:spPr bwMode="auto">
              <a:xfrm>
                <a:off x="4718958" y="3243944"/>
                <a:ext cx="469446"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342899</xdr:colOff>
          <xdr:row>22</xdr:row>
          <xdr:rowOff>16329</xdr:rowOff>
        </xdr:from>
        <xdr:to>
          <xdr:col>8</xdr:col>
          <xdr:colOff>519792</xdr:colOff>
          <xdr:row>23</xdr:row>
          <xdr:rowOff>20410</xdr:rowOff>
        </xdr:to>
        <xdr:grpSp>
          <xdr:nvGrpSpPr>
            <xdr:cNvPr id="16" name="Group 15"/>
            <xdr:cNvGrpSpPr/>
          </xdr:nvGrpSpPr>
          <xdr:grpSpPr>
            <a:xfrm>
              <a:off x="4139292" y="3962400"/>
              <a:ext cx="1027339" cy="194581"/>
              <a:chOff x="4161065" y="3243944"/>
              <a:chExt cx="1027339" cy="194581"/>
            </a:xfrm>
          </xdr:grpSpPr>
          <xdr:sp macro="" textlink="">
            <xdr:nvSpPr>
              <xdr:cNvPr id="10258" name="OptionButton3" hidden="1">
                <a:extLst>
                  <a:ext uri="{63B3BB69-23CF-44E3-9099-C40C66FF867C}">
                    <a14:compatExt spid="_x0000_s10258"/>
                  </a:ext>
                </a:extLst>
              </xdr:cNvPr>
              <xdr:cNvSpPr/>
            </xdr:nvSpPr>
            <xdr:spPr bwMode="auto">
              <a:xfrm>
                <a:off x="4161065" y="3248025"/>
                <a:ext cx="465364" cy="190500"/>
              </a:xfrm>
              <a:prstGeom prst="rect">
                <a:avLst/>
              </a:prstGeom>
              <a:noFill/>
              <a:ln>
                <a:noFill/>
              </a:ln>
              <a:extLst>
                <a:ext uri="{91240B29-F687-4F45-9708-019B960494DF}">
                  <a14:hiddenLine w="9525">
                    <a:noFill/>
                    <a:miter lim="800000"/>
                    <a:headEnd/>
                    <a:tailEnd/>
                  </a14:hiddenLine>
                </a:ext>
              </a:extLst>
            </xdr:spPr>
          </xdr:sp>
          <xdr:sp macro="" textlink="">
            <xdr:nvSpPr>
              <xdr:cNvPr id="10259" name="OptionButton4" hidden="1">
                <a:extLst>
                  <a:ext uri="{63B3BB69-23CF-44E3-9099-C40C66FF867C}">
                    <a14:compatExt spid="_x0000_s10259"/>
                  </a:ext>
                </a:extLst>
              </xdr:cNvPr>
              <xdr:cNvSpPr/>
            </xdr:nvSpPr>
            <xdr:spPr bwMode="auto">
              <a:xfrm>
                <a:off x="4718958" y="3243944"/>
                <a:ext cx="469446"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318406</xdr:colOff>
          <xdr:row>27</xdr:row>
          <xdr:rowOff>19050</xdr:rowOff>
        </xdr:from>
        <xdr:to>
          <xdr:col>8</xdr:col>
          <xdr:colOff>495299</xdr:colOff>
          <xdr:row>28</xdr:row>
          <xdr:rowOff>23131</xdr:rowOff>
        </xdr:to>
        <xdr:grpSp>
          <xdr:nvGrpSpPr>
            <xdr:cNvPr id="19" name="Group 18"/>
            <xdr:cNvGrpSpPr/>
          </xdr:nvGrpSpPr>
          <xdr:grpSpPr>
            <a:xfrm>
              <a:off x="4114799" y="4917621"/>
              <a:ext cx="1027339" cy="194581"/>
              <a:chOff x="4161065" y="3243944"/>
              <a:chExt cx="1027339" cy="194581"/>
            </a:xfrm>
          </xdr:grpSpPr>
          <xdr:sp macro="" textlink="">
            <xdr:nvSpPr>
              <xdr:cNvPr id="10260" name="OptionButton5" hidden="1">
                <a:extLst>
                  <a:ext uri="{63B3BB69-23CF-44E3-9099-C40C66FF867C}">
                    <a14:compatExt spid="_x0000_s10260"/>
                  </a:ext>
                </a:extLst>
              </xdr:cNvPr>
              <xdr:cNvSpPr/>
            </xdr:nvSpPr>
            <xdr:spPr bwMode="auto">
              <a:xfrm>
                <a:off x="4161065" y="3248025"/>
                <a:ext cx="465364" cy="190500"/>
              </a:xfrm>
              <a:prstGeom prst="rect">
                <a:avLst/>
              </a:prstGeom>
              <a:noFill/>
              <a:ln>
                <a:noFill/>
              </a:ln>
              <a:extLst>
                <a:ext uri="{91240B29-F687-4F45-9708-019B960494DF}">
                  <a14:hiddenLine w="9525">
                    <a:noFill/>
                    <a:miter lim="800000"/>
                    <a:headEnd/>
                    <a:tailEnd/>
                  </a14:hiddenLine>
                </a:ext>
              </a:extLst>
            </xdr:spPr>
          </xdr:sp>
          <xdr:sp macro="" textlink="">
            <xdr:nvSpPr>
              <xdr:cNvPr id="10261" name="OptionButton6" hidden="1">
                <a:extLst>
                  <a:ext uri="{63B3BB69-23CF-44E3-9099-C40C66FF867C}">
                    <a14:compatExt spid="_x0000_s10261"/>
                  </a:ext>
                </a:extLst>
              </xdr:cNvPr>
              <xdr:cNvSpPr/>
            </xdr:nvSpPr>
            <xdr:spPr bwMode="auto">
              <a:xfrm>
                <a:off x="4718958" y="3243944"/>
                <a:ext cx="469446"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333375</xdr:colOff>
          <xdr:row>19</xdr:row>
          <xdr:rowOff>19050</xdr:rowOff>
        </xdr:from>
        <xdr:to>
          <xdr:col>15</xdr:col>
          <xdr:colOff>133350</xdr:colOff>
          <xdr:row>20</xdr:row>
          <xdr:rowOff>133350</xdr:rowOff>
        </xdr:to>
        <xdr:sp macro="" textlink="">
          <xdr:nvSpPr>
            <xdr:cNvPr id="10263" name="Button 23" hidden="1">
              <a:extLst>
                <a:ext uri="{63B3BB69-23CF-44E3-9099-C40C66FF867C}">
                  <a14:compatExt spid="_x0000_s102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Advance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352425</xdr:colOff>
          <xdr:row>23</xdr:row>
          <xdr:rowOff>161925</xdr:rowOff>
        </xdr:from>
        <xdr:to>
          <xdr:col>15</xdr:col>
          <xdr:colOff>152400</xdr:colOff>
          <xdr:row>25</xdr:row>
          <xdr:rowOff>95250</xdr:rowOff>
        </xdr:to>
        <xdr:sp macro="" textlink="">
          <xdr:nvSpPr>
            <xdr:cNvPr id="10264" name="Button 24" hidden="1">
              <a:extLst>
                <a:ext uri="{63B3BB69-23CF-44E3-9099-C40C66FF867C}">
                  <a14:compatExt spid="_x0000_s10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Expenses</a:t>
              </a:r>
            </a:p>
          </xdr:txBody>
        </xdr:sp>
        <xdr:clientData fPrintsWithSheet="0"/>
      </xdr:twoCellAnchor>
    </mc:Choice>
    <mc:Fallback/>
  </mc:AlternateContent>
  <xdr:twoCellAnchor>
    <xdr:from>
      <xdr:col>13</xdr:col>
      <xdr:colOff>93890</xdr:colOff>
      <xdr:row>18</xdr:row>
      <xdr:rowOff>108859</xdr:rowOff>
    </xdr:from>
    <xdr:to>
      <xdr:col>15</xdr:col>
      <xdr:colOff>171450</xdr:colOff>
      <xdr:row>21</xdr:row>
      <xdr:rowOff>74841</xdr:rowOff>
    </xdr:to>
    <xdr:sp macro="" textlink="">
      <xdr:nvSpPr>
        <xdr:cNvPr id="2" name="Rectangle 1"/>
        <xdr:cNvSpPr/>
      </xdr:nvSpPr>
      <xdr:spPr>
        <a:xfrm>
          <a:off x="7932965" y="3318784"/>
          <a:ext cx="1296760" cy="537482"/>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125187</xdr:colOff>
      <xdr:row>23</xdr:row>
      <xdr:rowOff>63954</xdr:rowOff>
    </xdr:from>
    <xdr:to>
      <xdr:col>15</xdr:col>
      <xdr:colOff>200026</xdr:colOff>
      <xdr:row>26</xdr:row>
      <xdr:rowOff>29936</xdr:rowOff>
    </xdr:to>
    <xdr:sp macro="" textlink="">
      <xdr:nvSpPr>
        <xdr:cNvPr id="25" name="Rectangle 24"/>
        <xdr:cNvSpPr/>
      </xdr:nvSpPr>
      <xdr:spPr>
        <a:xfrm>
          <a:off x="7964262" y="4226379"/>
          <a:ext cx="1294039" cy="537482"/>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170090</xdr:colOff>
      <xdr:row>6</xdr:row>
      <xdr:rowOff>142874</xdr:rowOff>
    </xdr:from>
    <xdr:to>
      <xdr:col>15</xdr:col>
      <xdr:colOff>136072</xdr:colOff>
      <xdr:row>10</xdr:row>
      <xdr:rowOff>47622</xdr:rowOff>
    </xdr:to>
    <xdr:grpSp>
      <xdr:nvGrpSpPr>
        <xdr:cNvPr id="4" name="Group 3"/>
        <xdr:cNvGrpSpPr/>
      </xdr:nvGrpSpPr>
      <xdr:grpSpPr>
        <a:xfrm>
          <a:off x="8620126" y="1224642"/>
          <a:ext cx="578303" cy="693962"/>
          <a:chOff x="8620126" y="1238250"/>
          <a:chExt cx="578303" cy="693962"/>
        </a:xfrm>
      </xdr:grpSpPr>
      <xdr:pic macro="[0]!PrintDomBizTravel">
        <xdr:nvPicPr>
          <xdr:cNvPr id="20" name="Picture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67750" y="1238250"/>
            <a:ext cx="457200" cy="457200"/>
          </a:xfrm>
          <a:prstGeom prst="rect">
            <a:avLst/>
          </a:prstGeom>
        </xdr:spPr>
      </xdr:pic>
      <xdr:sp macro="[0]!PrintDomBizTravel" textlink="">
        <xdr:nvSpPr>
          <xdr:cNvPr id="21" name="Rectangle 20"/>
          <xdr:cNvSpPr/>
        </xdr:nvSpPr>
        <xdr:spPr>
          <a:xfrm>
            <a:off x="8620126" y="1646461"/>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Print</a:t>
            </a:r>
          </a:p>
        </xdr:txBody>
      </xdr:sp>
    </xdr:grpSp>
    <xdr:clientData/>
  </xdr:twoCellAnchor>
  <xdr:twoCellAnchor>
    <xdr:from>
      <xdr:col>15</xdr:col>
      <xdr:colOff>421816</xdr:colOff>
      <xdr:row>2</xdr:row>
      <xdr:rowOff>0</xdr:rowOff>
    </xdr:from>
    <xdr:to>
      <xdr:col>16</xdr:col>
      <xdr:colOff>442228</xdr:colOff>
      <xdr:row>5</xdr:row>
      <xdr:rowOff>129265</xdr:rowOff>
    </xdr:to>
    <xdr:grpSp>
      <xdr:nvGrpSpPr>
        <xdr:cNvPr id="5" name="Group 4"/>
        <xdr:cNvGrpSpPr/>
      </xdr:nvGrpSpPr>
      <xdr:grpSpPr>
        <a:xfrm>
          <a:off x="9484173" y="292554"/>
          <a:ext cx="632734" cy="721175"/>
          <a:chOff x="9545409" y="217716"/>
          <a:chExt cx="632734" cy="721175"/>
        </a:xfrm>
      </xdr:grpSpPr>
      <xdr:pic macro="[0]!SaveFile">
        <xdr:nvPicPr>
          <xdr:cNvPr id="3" name="Picture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45409" y="217716"/>
            <a:ext cx="594360" cy="594360"/>
          </a:xfrm>
          <a:prstGeom prst="rect">
            <a:avLst/>
          </a:prstGeom>
        </xdr:spPr>
      </xdr:pic>
      <xdr:sp macro="[0]!SaveFile" textlink="">
        <xdr:nvSpPr>
          <xdr:cNvPr id="24" name="Rectangle 23"/>
          <xdr:cNvSpPr/>
        </xdr:nvSpPr>
        <xdr:spPr>
          <a:xfrm>
            <a:off x="9599840" y="653140"/>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Save</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76729</xdr:colOff>
      <xdr:row>0</xdr:row>
      <xdr:rowOff>76729</xdr:rowOff>
    </xdr:from>
    <xdr:to>
      <xdr:col>2</xdr:col>
      <xdr:colOff>293687</xdr:colOff>
      <xdr:row>3</xdr:row>
      <xdr:rowOff>66146</xdr:rowOff>
    </xdr:to>
    <xdr:sp macro="[0]!LeftArrow_DomAdvance" textlink="">
      <xdr:nvSpPr>
        <xdr:cNvPr id="2" name="Left Arrow 1"/>
        <xdr:cNvSpPr/>
      </xdr:nvSpPr>
      <xdr:spPr>
        <a:xfrm>
          <a:off x="352954" y="76729"/>
          <a:ext cx="998008" cy="560917"/>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63501</xdr:colOff>
      <xdr:row>0</xdr:row>
      <xdr:rowOff>84667</xdr:rowOff>
    </xdr:from>
    <xdr:to>
      <xdr:col>1</xdr:col>
      <xdr:colOff>1058334</xdr:colOff>
      <xdr:row>3</xdr:row>
      <xdr:rowOff>74084</xdr:rowOff>
    </xdr:to>
    <xdr:sp macro="[0]!LeftArrow_DomExpense" textlink="">
      <xdr:nvSpPr>
        <xdr:cNvPr id="2" name="Left Arrow 1"/>
        <xdr:cNvSpPr/>
      </xdr:nvSpPr>
      <xdr:spPr>
        <a:xfrm>
          <a:off x="415926" y="84667"/>
          <a:ext cx="994833" cy="560917"/>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136072</xdr:colOff>
      <xdr:row>1</xdr:row>
      <xdr:rowOff>95247</xdr:rowOff>
    </xdr:from>
    <xdr:to>
      <xdr:col>15</xdr:col>
      <xdr:colOff>102054</xdr:colOff>
      <xdr:row>5</xdr:row>
      <xdr:rowOff>129266</xdr:rowOff>
    </xdr:to>
    <xdr:grpSp>
      <xdr:nvGrpSpPr>
        <xdr:cNvPr id="9" name="Group 8"/>
        <xdr:cNvGrpSpPr/>
      </xdr:nvGrpSpPr>
      <xdr:grpSpPr>
        <a:xfrm>
          <a:off x="8667751" y="285747"/>
          <a:ext cx="578303" cy="714376"/>
          <a:chOff x="415019" y="238124"/>
          <a:chExt cx="578303" cy="727983"/>
        </a:xfrm>
      </xdr:grpSpPr>
      <xdr:sp macro="[0]!GoTo_Home" textlink="">
        <xdr:nvSpPr>
          <xdr:cNvPr id="10" name="Rectangle 9"/>
          <xdr:cNvSpPr/>
        </xdr:nvSpPr>
        <xdr:spPr>
          <a:xfrm>
            <a:off x="415019" y="680356"/>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Home</a:t>
            </a:r>
          </a:p>
          <a:p>
            <a:pPr algn="l"/>
            <a:endParaRPr lang="en-US" sz="1200" b="1">
              <a:solidFill>
                <a:srgbClr val="FF0000"/>
              </a:solidFill>
              <a:latin typeface="Times New Roman" panose="02020603050405020304" pitchFamily="18" charset="0"/>
              <a:cs typeface="Times New Roman" panose="02020603050405020304" pitchFamily="18" charset="0"/>
            </a:endParaRPr>
          </a:p>
        </xdr:txBody>
      </xdr:sp>
      <xdr:pic macro="[0]!GoTo_Home">
        <xdr:nvPicPr>
          <xdr:cNvPr id="11" name="Picture 1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4" y="238124"/>
            <a:ext cx="522514" cy="522514"/>
          </a:xfrm>
          <a:prstGeom prst="rect">
            <a:avLst/>
          </a:prstGeom>
          <a:solidFill>
            <a:srgbClr val="FF0000"/>
          </a:solidFill>
        </xdr:spPr>
      </xdr:pic>
    </xdr:grpSp>
    <xdr:clientData/>
  </xdr:twoCellAnchor>
  <xdr:twoCellAnchor editAs="oneCell">
    <xdr:from>
      <xdr:col>1</xdr:col>
      <xdr:colOff>176888</xdr:colOff>
      <xdr:row>1</xdr:row>
      <xdr:rowOff>61231</xdr:rowOff>
    </xdr:from>
    <xdr:to>
      <xdr:col>4</xdr:col>
      <xdr:colOff>12079</xdr:colOff>
      <xdr:row>3</xdr:row>
      <xdr:rowOff>133303</xdr:rowOff>
    </xdr:to>
    <xdr:pic>
      <xdr:nvPicPr>
        <xdr:cNvPr id="13" name="Picture 12"/>
        <xdr:cNvPicPr>
          <a:picLocks noChangeAspect="1"/>
        </xdr:cNvPicPr>
      </xdr:nvPicPr>
      <xdr:blipFill>
        <a:blip xmlns:r="http://schemas.openxmlformats.org/officeDocument/2006/relationships" r:embed="rId2"/>
        <a:stretch>
          <a:fillRect/>
        </a:stretch>
      </xdr:blipFill>
      <xdr:spPr>
        <a:xfrm>
          <a:off x="421817" y="251731"/>
          <a:ext cx="1304762" cy="371429"/>
        </a:xfrm>
        <a:prstGeom prst="rect">
          <a:avLst/>
        </a:prstGeom>
      </xdr:spPr>
    </xdr:pic>
    <xdr:clientData/>
  </xdr:twoCellAnchor>
  <xdr:twoCellAnchor>
    <xdr:from>
      <xdr:col>14</xdr:col>
      <xdr:colOff>156481</xdr:colOff>
      <xdr:row>6</xdr:row>
      <xdr:rowOff>115660</xdr:rowOff>
    </xdr:from>
    <xdr:to>
      <xdr:col>15</xdr:col>
      <xdr:colOff>122463</xdr:colOff>
      <xdr:row>11</xdr:row>
      <xdr:rowOff>6801</xdr:rowOff>
    </xdr:to>
    <xdr:grpSp>
      <xdr:nvGrpSpPr>
        <xdr:cNvPr id="6" name="Group 5"/>
        <xdr:cNvGrpSpPr/>
      </xdr:nvGrpSpPr>
      <xdr:grpSpPr>
        <a:xfrm>
          <a:off x="8688160" y="1183821"/>
          <a:ext cx="578303" cy="796016"/>
          <a:chOff x="8620126" y="1238250"/>
          <a:chExt cx="578303" cy="693962"/>
        </a:xfrm>
      </xdr:grpSpPr>
      <xdr:pic macro="[0]!PrintRelocA">
        <xdr:nvPicPr>
          <xdr:cNvPr id="7" name="Picture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67750" y="1238250"/>
            <a:ext cx="457200" cy="457200"/>
          </a:xfrm>
          <a:prstGeom prst="rect">
            <a:avLst/>
          </a:prstGeom>
        </xdr:spPr>
      </xdr:pic>
      <xdr:sp macro="[0]!PrintRelocA" textlink="">
        <xdr:nvSpPr>
          <xdr:cNvPr id="8" name="Rectangle 7"/>
          <xdr:cNvSpPr/>
        </xdr:nvSpPr>
        <xdr:spPr>
          <a:xfrm>
            <a:off x="8620126" y="1646461"/>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Print</a:t>
            </a:r>
          </a:p>
        </xdr:txBody>
      </xdr:sp>
    </xdr:grpSp>
    <xdr:clientData/>
  </xdr:twoCellAnchor>
  <xdr:twoCellAnchor>
    <xdr:from>
      <xdr:col>15</xdr:col>
      <xdr:colOff>381002</xdr:colOff>
      <xdr:row>2</xdr:row>
      <xdr:rowOff>6802</xdr:rowOff>
    </xdr:from>
    <xdr:to>
      <xdr:col>16</xdr:col>
      <xdr:colOff>401415</xdr:colOff>
      <xdr:row>5</xdr:row>
      <xdr:rowOff>136067</xdr:rowOff>
    </xdr:to>
    <xdr:grpSp>
      <xdr:nvGrpSpPr>
        <xdr:cNvPr id="15" name="Group 14"/>
        <xdr:cNvGrpSpPr/>
      </xdr:nvGrpSpPr>
      <xdr:grpSpPr>
        <a:xfrm>
          <a:off x="9525002" y="299356"/>
          <a:ext cx="632734" cy="707568"/>
          <a:chOff x="9545409" y="217716"/>
          <a:chExt cx="632734" cy="721175"/>
        </a:xfrm>
      </xdr:grpSpPr>
      <xdr:pic macro="[0]!SaveFile">
        <xdr:nvPicPr>
          <xdr:cNvPr id="16" name="Picture 1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45409" y="217716"/>
            <a:ext cx="594360" cy="594360"/>
          </a:xfrm>
          <a:prstGeom prst="rect">
            <a:avLst/>
          </a:prstGeom>
        </xdr:spPr>
      </xdr:pic>
      <xdr:sp macro="[0]!SaveFile" textlink="">
        <xdr:nvSpPr>
          <xdr:cNvPr id="17" name="Rectangle 16"/>
          <xdr:cNvSpPr/>
        </xdr:nvSpPr>
        <xdr:spPr>
          <a:xfrm>
            <a:off x="9599840" y="653140"/>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Save</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136072</xdr:colOff>
      <xdr:row>1</xdr:row>
      <xdr:rowOff>95247</xdr:rowOff>
    </xdr:from>
    <xdr:to>
      <xdr:col>15</xdr:col>
      <xdr:colOff>102054</xdr:colOff>
      <xdr:row>5</xdr:row>
      <xdr:rowOff>129266</xdr:rowOff>
    </xdr:to>
    <xdr:grpSp>
      <xdr:nvGrpSpPr>
        <xdr:cNvPr id="2" name="Group 1"/>
        <xdr:cNvGrpSpPr/>
      </xdr:nvGrpSpPr>
      <xdr:grpSpPr>
        <a:xfrm>
          <a:off x="8667751" y="285747"/>
          <a:ext cx="578303" cy="714376"/>
          <a:chOff x="415019" y="238124"/>
          <a:chExt cx="578303" cy="727983"/>
        </a:xfrm>
      </xdr:grpSpPr>
      <xdr:sp macro="[0]!GoTo_Home" textlink="">
        <xdr:nvSpPr>
          <xdr:cNvPr id="3" name="Rectangle 2"/>
          <xdr:cNvSpPr/>
        </xdr:nvSpPr>
        <xdr:spPr>
          <a:xfrm>
            <a:off x="415019" y="680356"/>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Home</a:t>
            </a:r>
          </a:p>
          <a:p>
            <a:pPr algn="l"/>
            <a:endParaRPr lang="en-US" sz="1200" b="1">
              <a:solidFill>
                <a:srgbClr val="FF0000"/>
              </a:solidFill>
              <a:latin typeface="Times New Roman" panose="02020603050405020304" pitchFamily="18" charset="0"/>
              <a:cs typeface="Times New Roman" panose="02020603050405020304" pitchFamily="18" charset="0"/>
            </a:endParaRPr>
          </a:p>
        </xdr:txBody>
      </xdr:sp>
      <xdr:pic macro="[0]!GoTo_Home">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4" y="238124"/>
            <a:ext cx="522514" cy="522514"/>
          </a:xfrm>
          <a:prstGeom prst="rect">
            <a:avLst/>
          </a:prstGeom>
          <a:solidFill>
            <a:srgbClr val="FF0000"/>
          </a:solidFill>
        </xdr:spPr>
      </xdr:pic>
    </xdr:grpSp>
    <xdr:clientData/>
  </xdr:twoCellAnchor>
  <xdr:twoCellAnchor editAs="oneCell">
    <xdr:from>
      <xdr:col>1</xdr:col>
      <xdr:colOff>176888</xdr:colOff>
      <xdr:row>1</xdr:row>
      <xdr:rowOff>61231</xdr:rowOff>
    </xdr:from>
    <xdr:to>
      <xdr:col>4</xdr:col>
      <xdr:colOff>12079</xdr:colOff>
      <xdr:row>3</xdr:row>
      <xdr:rowOff>133303</xdr:rowOff>
    </xdr:to>
    <xdr:pic>
      <xdr:nvPicPr>
        <xdr:cNvPr id="5" name="Picture 4"/>
        <xdr:cNvPicPr>
          <a:picLocks noChangeAspect="1"/>
        </xdr:cNvPicPr>
      </xdr:nvPicPr>
      <xdr:blipFill>
        <a:blip xmlns:r="http://schemas.openxmlformats.org/officeDocument/2006/relationships" r:embed="rId2"/>
        <a:stretch>
          <a:fillRect/>
        </a:stretch>
      </xdr:blipFill>
      <xdr:spPr>
        <a:xfrm>
          <a:off x="424538" y="251731"/>
          <a:ext cx="1302041" cy="376872"/>
        </a:xfrm>
        <a:prstGeom prst="rect">
          <a:avLst/>
        </a:prstGeom>
      </xdr:spPr>
    </xdr:pic>
    <xdr:clientData/>
  </xdr:twoCellAnchor>
  <xdr:twoCellAnchor>
    <xdr:from>
      <xdr:col>14</xdr:col>
      <xdr:colOff>190500</xdr:colOff>
      <xdr:row>6</xdr:row>
      <xdr:rowOff>102055</xdr:rowOff>
    </xdr:from>
    <xdr:to>
      <xdr:col>15</xdr:col>
      <xdr:colOff>156482</xdr:colOff>
      <xdr:row>10</xdr:row>
      <xdr:rowOff>88446</xdr:rowOff>
    </xdr:to>
    <xdr:grpSp>
      <xdr:nvGrpSpPr>
        <xdr:cNvPr id="6" name="Group 5"/>
        <xdr:cNvGrpSpPr/>
      </xdr:nvGrpSpPr>
      <xdr:grpSpPr>
        <a:xfrm>
          <a:off x="8722179" y="1170216"/>
          <a:ext cx="578303" cy="693962"/>
          <a:chOff x="8620126" y="1238250"/>
          <a:chExt cx="578303" cy="693962"/>
        </a:xfrm>
      </xdr:grpSpPr>
      <xdr:pic macro="[0]!PrintRelocB">
        <xdr:nvPicPr>
          <xdr:cNvPr id="7" name="Picture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67750" y="1238250"/>
            <a:ext cx="457200" cy="457200"/>
          </a:xfrm>
          <a:prstGeom prst="rect">
            <a:avLst/>
          </a:prstGeom>
        </xdr:spPr>
      </xdr:pic>
      <xdr:sp macro="[0]!PrintRelocB" textlink="">
        <xdr:nvSpPr>
          <xdr:cNvPr id="8" name="Rectangle 7"/>
          <xdr:cNvSpPr/>
        </xdr:nvSpPr>
        <xdr:spPr>
          <a:xfrm>
            <a:off x="8620126" y="1646461"/>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Print</a:t>
            </a:r>
          </a:p>
        </xdr:txBody>
      </xdr:sp>
    </xdr:grpSp>
    <xdr:clientData/>
  </xdr:twoCellAnchor>
  <xdr:twoCellAnchor>
    <xdr:from>
      <xdr:col>15</xdr:col>
      <xdr:colOff>374195</xdr:colOff>
      <xdr:row>2</xdr:row>
      <xdr:rowOff>6805</xdr:rowOff>
    </xdr:from>
    <xdr:to>
      <xdr:col>16</xdr:col>
      <xdr:colOff>394608</xdr:colOff>
      <xdr:row>5</xdr:row>
      <xdr:rowOff>136070</xdr:rowOff>
    </xdr:to>
    <xdr:grpSp>
      <xdr:nvGrpSpPr>
        <xdr:cNvPr id="11" name="Group 10"/>
        <xdr:cNvGrpSpPr/>
      </xdr:nvGrpSpPr>
      <xdr:grpSpPr>
        <a:xfrm>
          <a:off x="9518195" y="299359"/>
          <a:ext cx="632734" cy="707568"/>
          <a:chOff x="9545409" y="217716"/>
          <a:chExt cx="632734" cy="721175"/>
        </a:xfrm>
      </xdr:grpSpPr>
      <xdr:pic macro="[0]!SaveFile">
        <xdr:nvPicPr>
          <xdr:cNvPr id="12" name="Picture 1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45409" y="217716"/>
            <a:ext cx="594360" cy="594360"/>
          </a:xfrm>
          <a:prstGeom prst="rect">
            <a:avLst/>
          </a:prstGeom>
        </xdr:spPr>
      </xdr:pic>
      <xdr:sp macro="[0]!SaveFile" textlink="">
        <xdr:nvSpPr>
          <xdr:cNvPr id="13" name="Rectangle 12"/>
          <xdr:cNvSpPr/>
        </xdr:nvSpPr>
        <xdr:spPr>
          <a:xfrm>
            <a:off x="9599840" y="653140"/>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Save</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136072</xdr:colOff>
      <xdr:row>1</xdr:row>
      <xdr:rowOff>95247</xdr:rowOff>
    </xdr:from>
    <xdr:to>
      <xdr:col>15</xdr:col>
      <xdr:colOff>102054</xdr:colOff>
      <xdr:row>5</xdr:row>
      <xdr:rowOff>129266</xdr:rowOff>
    </xdr:to>
    <xdr:grpSp>
      <xdr:nvGrpSpPr>
        <xdr:cNvPr id="2" name="Group 1"/>
        <xdr:cNvGrpSpPr/>
      </xdr:nvGrpSpPr>
      <xdr:grpSpPr>
        <a:xfrm>
          <a:off x="8728983" y="285747"/>
          <a:ext cx="578303" cy="714376"/>
          <a:chOff x="415019" y="238124"/>
          <a:chExt cx="578303" cy="727983"/>
        </a:xfrm>
      </xdr:grpSpPr>
      <xdr:sp macro="[0]!GoTo_Home" textlink="">
        <xdr:nvSpPr>
          <xdr:cNvPr id="3" name="Rectangle 2"/>
          <xdr:cNvSpPr/>
        </xdr:nvSpPr>
        <xdr:spPr>
          <a:xfrm>
            <a:off x="415019" y="680356"/>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Home</a:t>
            </a:r>
          </a:p>
          <a:p>
            <a:pPr algn="l"/>
            <a:endParaRPr lang="en-US" sz="1200" b="1">
              <a:solidFill>
                <a:srgbClr val="FF0000"/>
              </a:solidFill>
              <a:latin typeface="Times New Roman" panose="02020603050405020304" pitchFamily="18" charset="0"/>
              <a:cs typeface="Times New Roman" panose="02020603050405020304" pitchFamily="18" charset="0"/>
            </a:endParaRPr>
          </a:p>
        </xdr:txBody>
      </xdr:sp>
      <xdr:pic macro="[0]!GoTo_Home">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4" y="238124"/>
            <a:ext cx="522514" cy="522514"/>
          </a:xfrm>
          <a:prstGeom prst="rect">
            <a:avLst/>
          </a:prstGeom>
          <a:solidFill>
            <a:srgbClr val="FF0000"/>
          </a:solidFill>
        </xdr:spPr>
      </xdr:pic>
    </xdr:grpSp>
    <xdr:clientData/>
  </xdr:twoCellAnchor>
  <xdr:twoCellAnchor editAs="oneCell">
    <xdr:from>
      <xdr:col>1</xdr:col>
      <xdr:colOff>176888</xdr:colOff>
      <xdr:row>1</xdr:row>
      <xdr:rowOff>61231</xdr:rowOff>
    </xdr:from>
    <xdr:to>
      <xdr:col>4</xdr:col>
      <xdr:colOff>12079</xdr:colOff>
      <xdr:row>3</xdr:row>
      <xdr:rowOff>133303</xdr:rowOff>
    </xdr:to>
    <xdr:pic>
      <xdr:nvPicPr>
        <xdr:cNvPr id="5" name="Picture 4"/>
        <xdr:cNvPicPr>
          <a:picLocks noChangeAspect="1"/>
        </xdr:cNvPicPr>
      </xdr:nvPicPr>
      <xdr:blipFill>
        <a:blip xmlns:r="http://schemas.openxmlformats.org/officeDocument/2006/relationships" r:embed="rId2"/>
        <a:stretch>
          <a:fillRect/>
        </a:stretch>
      </xdr:blipFill>
      <xdr:spPr>
        <a:xfrm>
          <a:off x="424538" y="251731"/>
          <a:ext cx="1302041" cy="376872"/>
        </a:xfrm>
        <a:prstGeom prst="rect">
          <a:avLst/>
        </a:prstGeom>
      </xdr:spPr>
    </xdr:pic>
    <xdr:clientData/>
  </xdr:twoCellAnchor>
  <xdr:twoCellAnchor>
    <xdr:from>
      <xdr:col>14</xdr:col>
      <xdr:colOff>176893</xdr:colOff>
      <xdr:row>6</xdr:row>
      <xdr:rowOff>54430</xdr:rowOff>
    </xdr:from>
    <xdr:to>
      <xdr:col>15</xdr:col>
      <xdr:colOff>142875</xdr:colOff>
      <xdr:row>10</xdr:row>
      <xdr:rowOff>40821</xdr:rowOff>
    </xdr:to>
    <xdr:grpSp>
      <xdr:nvGrpSpPr>
        <xdr:cNvPr id="6" name="Group 5"/>
        <xdr:cNvGrpSpPr/>
      </xdr:nvGrpSpPr>
      <xdr:grpSpPr>
        <a:xfrm>
          <a:off x="8769804" y="1122591"/>
          <a:ext cx="578303" cy="809623"/>
          <a:chOff x="8620126" y="1238250"/>
          <a:chExt cx="578303" cy="693962"/>
        </a:xfrm>
      </xdr:grpSpPr>
      <xdr:pic macro="[0]!PrintCorpCreditCard">
        <xdr:nvPicPr>
          <xdr:cNvPr id="7" name="Picture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67750" y="1238250"/>
            <a:ext cx="457200" cy="457200"/>
          </a:xfrm>
          <a:prstGeom prst="rect">
            <a:avLst/>
          </a:prstGeom>
        </xdr:spPr>
      </xdr:pic>
      <xdr:sp macro="[0]!PrintCorpCreditCard" textlink="">
        <xdr:nvSpPr>
          <xdr:cNvPr id="8" name="Rectangle 7"/>
          <xdr:cNvSpPr/>
        </xdr:nvSpPr>
        <xdr:spPr>
          <a:xfrm>
            <a:off x="8620126" y="1646461"/>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Print</a:t>
            </a:r>
          </a:p>
        </xdr:txBody>
      </xdr:sp>
    </xdr:grpSp>
    <xdr:clientData/>
  </xdr:twoCellAnchor>
  <xdr:twoCellAnchor>
    <xdr:from>
      <xdr:col>15</xdr:col>
      <xdr:colOff>387805</xdr:colOff>
      <xdr:row>2</xdr:row>
      <xdr:rowOff>13607</xdr:rowOff>
    </xdr:from>
    <xdr:to>
      <xdr:col>16</xdr:col>
      <xdr:colOff>408217</xdr:colOff>
      <xdr:row>5</xdr:row>
      <xdr:rowOff>142872</xdr:rowOff>
    </xdr:to>
    <xdr:grpSp>
      <xdr:nvGrpSpPr>
        <xdr:cNvPr id="11" name="Group 10"/>
        <xdr:cNvGrpSpPr/>
      </xdr:nvGrpSpPr>
      <xdr:grpSpPr>
        <a:xfrm>
          <a:off x="9593037" y="306161"/>
          <a:ext cx="632734" cy="707568"/>
          <a:chOff x="9545409" y="217716"/>
          <a:chExt cx="632734" cy="721175"/>
        </a:xfrm>
      </xdr:grpSpPr>
      <xdr:pic macro="[0]!SaveFile">
        <xdr:nvPicPr>
          <xdr:cNvPr id="12" name="Picture 1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45409" y="217716"/>
            <a:ext cx="594360" cy="594360"/>
          </a:xfrm>
          <a:prstGeom prst="rect">
            <a:avLst/>
          </a:prstGeom>
        </xdr:spPr>
      </xdr:pic>
      <xdr:sp macro="[0]!SaveFile" textlink="">
        <xdr:nvSpPr>
          <xdr:cNvPr id="13" name="Rectangle 12"/>
          <xdr:cNvSpPr/>
        </xdr:nvSpPr>
        <xdr:spPr>
          <a:xfrm>
            <a:off x="9599840" y="653140"/>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Save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136072</xdr:colOff>
      <xdr:row>1</xdr:row>
      <xdr:rowOff>95247</xdr:rowOff>
    </xdr:from>
    <xdr:to>
      <xdr:col>15</xdr:col>
      <xdr:colOff>102054</xdr:colOff>
      <xdr:row>5</xdr:row>
      <xdr:rowOff>129266</xdr:rowOff>
    </xdr:to>
    <xdr:grpSp>
      <xdr:nvGrpSpPr>
        <xdr:cNvPr id="2" name="Group 1"/>
        <xdr:cNvGrpSpPr/>
      </xdr:nvGrpSpPr>
      <xdr:grpSpPr>
        <a:xfrm>
          <a:off x="8763001" y="285747"/>
          <a:ext cx="578303" cy="714376"/>
          <a:chOff x="415019" y="238124"/>
          <a:chExt cx="578303" cy="727983"/>
        </a:xfrm>
      </xdr:grpSpPr>
      <xdr:sp macro="[0]!GoTo_Home" textlink="">
        <xdr:nvSpPr>
          <xdr:cNvPr id="3" name="Rectangle 2"/>
          <xdr:cNvSpPr/>
        </xdr:nvSpPr>
        <xdr:spPr>
          <a:xfrm>
            <a:off x="415019" y="680356"/>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Home</a:t>
            </a:r>
          </a:p>
          <a:p>
            <a:pPr algn="l"/>
            <a:endParaRPr lang="en-US" sz="1200" b="1">
              <a:solidFill>
                <a:srgbClr val="FF0000"/>
              </a:solidFill>
              <a:latin typeface="Times New Roman" panose="02020603050405020304" pitchFamily="18" charset="0"/>
              <a:cs typeface="Times New Roman" panose="02020603050405020304" pitchFamily="18" charset="0"/>
            </a:endParaRPr>
          </a:p>
        </xdr:txBody>
      </xdr:sp>
      <xdr:pic macro="[0]!GoTo_Home">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4" y="238124"/>
            <a:ext cx="522514" cy="522514"/>
          </a:xfrm>
          <a:prstGeom prst="rect">
            <a:avLst/>
          </a:prstGeom>
          <a:solidFill>
            <a:srgbClr val="FF0000"/>
          </a:solidFill>
        </xdr:spPr>
      </xdr:pic>
    </xdr:grpSp>
    <xdr:clientData/>
  </xdr:twoCellAnchor>
  <xdr:twoCellAnchor editAs="oneCell">
    <xdr:from>
      <xdr:col>1</xdr:col>
      <xdr:colOff>176888</xdr:colOff>
      <xdr:row>1</xdr:row>
      <xdr:rowOff>61231</xdr:rowOff>
    </xdr:from>
    <xdr:to>
      <xdr:col>4</xdr:col>
      <xdr:colOff>12079</xdr:colOff>
      <xdr:row>3</xdr:row>
      <xdr:rowOff>133303</xdr:rowOff>
    </xdr:to>
    <xdr:pic>
      <xdr:nvPicPr>
        <xdr:cNvPr id="5" name="Picture 4"/>
        <xdr:cNvPicPr>
          <a:picLocks noChangeAspect="1"/>
        </xdr:cNvPicPr>
      </xdr:nvPicPr>
      <xdr:blipFill>
        <a:blip xmlns:r="http://schemas.openxmlformats.org/officeDocument/2006/relationships" r:embed="rId2"/>
        <a:stretch>
          <a:fillRect/>
        </a:stretch>
      </xdr:blipFill>
      <xdr:spPr>
        <a:xfrm>
          <a:off x="424538" y="251731"/>
          <a:ext cx="1302041" cy="376872"/>
        </a:xfrm>
        <a:prstGeom prst="rect">
          <a:avLst/>
        </a:prstGeom>
      </xdr:spPr>
    </xdr:pic>
    <xdr:clientData/>
  </xdr:twoCellAnchor>
  <xdr:twoCellAnchor>
    <xdr:from>
      <xdr:col>14</xdr:col>
      <xdr:colOff>176892</xdr:colOff>
      <xdr:row>6</xdr:row>
      <xdr:rowOff>136069</xdr:rowOff>
    </xdr:from>
    <xdr:to>
      <xdr:col>15</xdr:col>
      <xdr:colOff>142874</xdr:colOff>
      <xdr:row>10</xdr:row>
      <xdr:rowOff>89424</xdr:rowOff>
    </xdr:to>
    <xdr:grpSp>
      <xdr:nvGrpSpPr>
        <xdr:cNvPr id="6" name="Group 5"/>
        <xdr:cNvGrpSpPr/>
      </xdr:nvGrpSpPr>
      <xdr:grpSpPr>
        <a:xfrm>
          <a:off x="8803821" y="1204230"/>
          <a:ext cx="578303" cy="694944"/>
          <a:chOff x="8620126" y="1238250"/>
          <a:chExt cx="578303" cy="693962"/>
        </a:xfrm>
      </xdr:grpSpPr>
      <xdr:pic macro="[0]!PrintOthers">
        <xdr:nvPicPr>
          <xdr:cNvPr id="7" name="Picture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67750" y="1238250"/>
            <a:ext cx="457200" cy="457200"/>
          </a:xfrm>
          <a:prstGeom prst="rect">
            <a:avLst/>
          </a:prstGeom>
        </xdr:spPr>
      </xdr:pic>
      <xdr:sp macro="[0]!PrintOthers" textlink="">
        <xdr:nvSpPr>
          <xdr:cNvPr id="8" name="Rectangle 7"/>
          <xdr:cNvSpPr/>
        </xdr:nvSpPr>
        <xdr:spPr>
          <a:xfrm>
            <a:off x="8620126" y="1646461"/>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Print</a:t>
            </a:r>
          </a:p>
        </xdr:txBody>
      </xdr:sp>
    </xdr:grpSp>
    <xdr:clientData/>
  </xdr:twoCellAnchor>
  <xdr:twoCellAnchor>
    <xdr:from>
      <xdr:col>15</xdr:col>
      <xdr:colOff>367392</xdr:colOff>
      <xdr:row>1</xdr:row>
      <xdr:rowOff>102053</xdr:rowOff>
    </xdr:from>
    <xdr:to>
      <xdr:col>16</xdr:col>
      <xdr:colOff>387805</xdr:colOff>
      <xdr:row>5</xdr:row>
      <xdr:rowOff>129264</xdr:rowOff>
    </xdr:to>
    <xdr:grpSp>
      <xdr:nvGrpSpPr>
        <xdr:cNvPr id="11" name="Group 10"/>
        <xdr:cNvGrpSpPr/>
      </xdr:nvGrpSpPr>
      <xdr:grpSpPr>
        <a:xfrm>
          <a:off x="9606642" y="292553"/>
          <a:ext cx="632734" cy="707568"/>
          <a:chOff x="9545409" y="217716"/>
          <a:chExt cx="632734" cy="721175"/>
        </a:xfrm>
      </xdr:grpSpPr>
      <xdr:pic macro="[0]!SaveFile">
        <xdr:nvPicPr>
          <xdr:cNvPr id="12" name="Picture 1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45409" y="217716"/>
            <a:ext cx="594360" cy="594360"/>
          </a:xfrm>
          <a:prstGeom prst="rect">
            <a:avLst/>
          </a:prstGeom>
        </xdr:spPr>
      </xdr:pic>
      <xdr:sp macro="[0]!SaveFile" textlink="">
        <xdr:nvSpPr>
          <xdr:cNvPr id="13" name="Rectangle 12"/>
          <xdr:cNvSpPr/>
        </xdr:nvSpPr>
        <xdr:spPr>
          <a:xfrm>
            <a:off x="9599840" y="653140"/>
            <a:ext cx="578303" cy="2857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0000"/>
                </a:solidFill>
                <a:latin typeface="Times New Roman" panose="02020603050405020304" pitchFamily="18" charset="0"/>
                <a:cs typeface="Times New Roman" panose="02020603050405020304" pitchFamily="18" charset="0"/>
              </a:rPr>
              <a:t>Save</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ctrlProp" Target="../ctrlProps/ctrlProp10.xml"/><Relationship Id="rId2" Type="http://schemas.openxmlformats.org/officeDocument/2006/relationships/drawing" Target="../drawings/drawing5.xml"/><Relationship Id="rId16" Type="http://schemas.openxmlformats.org/officeDocument/2006/relationships/ctrlProp" Target="../ctrlProps/ctrlProp9.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B3:X26"/>
  <sheetViews>
    <sheetView showGridLines="0" showRowColHeaders="0" workbookViewId="0">
      <selection activeCell="J6" sqref="J6"/>
    </sheetView>
  </sheetViews>
  <sheetFormatPr defaultRowHeight="15" x14ac:dyDescent="0.25"/>
  <cols>
    <col min="7" max="7" width="9.42578125" customWidth="1"/>
    <col min="8" max="8" width="4.5703125" customWidth="1"/>
    <col min="12" max="12" width="4.5703125" customWidth="1"/>
  </cols>
  <sheetData>
    <row r="3" spans="2:24" ht="15.75" thickBot="1" x14ac:dyDescent="0.3"/>
    <row r="4" spans="2:24" ht="15" customHeight="1" x14ac:dyDescent="0.25">
      <c r="B4" s="127" t="s">
        <v>189</v>
      </c>
      <c r="C4" s="128"/>
      <c r="D4" s="128"/>
      <c r="E4" s="128"/>
      <c r="F4" s="128"/>
      <c r="G4" s="129"/>
      <c r="H4" s="98"/>
      <c r="I4" s="99"/>
      <c r="J4" s="99"/>
      <c r="K4" s="99"/>
      <c r="L4" s="100"/>
      <c r="N4" s="127" t="s">
        <v>192</v>
      </c>
      <c r="O4" s="128"/>
      <c r="P4" s="128"/>
      <c r="Q4" s="128"/>
      <c r="R4" s="128"/>
      <c r="S4" s="129"/>
      <c r="T4" s="98"/>
      <c r="U4" s="99"/>
      <c r="V4" s="99"/>
      <c r="W4" s="99"/>
      <c r="X4" s="100"/>
    </row>
    <row r="5" spans="2:24" x14ac:dyDescent="0.25">
      <c r="B5" s="130"/>
      <c r="C5" s="131"/>
      <c r="D5" s="131"/>
      <c r="E5" s="131"/>
      <c r="F5" s="131"/>
      <c r="G5" s="132"/>
      <c r="H5" s="101"/>
      <c r="I5" s="102"/>
      <c r="J5" s="102"/>
      <c r="K5" s="102"/>
      <c r="L5" s="103"/>
      <c r="N5" s="130"/>
      <c r="O5" s="131"/>
      <c r="P5" s="131"/>
      <c r="Q5" s="131"/>
      <c r="R5" s="131"/>
      <c r="S5" s="132"/>
      <c r="T5" s="101"/>
      <c r="U5" s="102"/>
      <c r="V5" s="102"/>
      <c r="W5" s="102"/>
      <c r="X5" s="103"/>
    </row>
    <row r="6" spans="2:24" x14ac:dyDescent="0.25">
      <c r="B6" s="130"/>
      <c r="C6" s="131"/>
      <c r="D6" s="131"/>
      <c r="E6" s="131"/>
      <c r="F6" s="131"/>
      <c r="G6" s="132"/>
      <c r="H6" s="101"/>
      <c r="I6" s="102"/>
      <c r="J6" s="102"/>
      <c r="K6" s="102"/>
      <c r="L6" s="103"/>
      <c r="N6" s="130"/>
      <c r="O6" s="131"/>
      <c r="P6" s="131"/>
      <c r="Q6" s="131"/>
      <c r="R6" s="131"/>
      <c r="S6" s="132"/>
      <c r="T6" s="101"/>
      <c r="U6" s="102"/>
      <c r="V6" s="102"/>
      <c r="W6" s="102"/>
      <c r="X6" s="103"/>
    </row>
    <row r="7" spans="2:24" x14ac:dyDescent="0.25">
      <c r="B7" s="130"/>
      <c r="C7" s="131"/>
      <c r="D7" s="131"/>
      <c r="E7" s="131"/>
      <c r="F7" s="131"/>
      <c r="G7" s="132"/>
      <c r="H7" s="101"/>
      <c r="I7" s="102"/>
      <c r="J7" s="102"/>
      <c r="K7" s="102"/>
      <c r="L7" s="103"/>
      <c r="N7" s="130"/>
      <c r="O7" s="131"/>
      <c r="P7" s="131"/>
      <c r="Q7" s="131"/>
      <c r="R7" s="131"/>
      <c r="S7" s="132"/>
      <c r="T7" s="101"/>
      <c r="U7" s="102"/>
      <c r="V7" s="102"/>
      <c r="W7" s="102"/>
      <c r="X7" s="103"/>
    </row>
    <row r="8" spans="2:24" ht="15.75" thickBot="1" x14ac:dyDescent="0.3">
      <c r="B8" s="133"/>
      <c r="C8" s="134"/>
      <c r="D8" s="134"/>
      <c r="E8" s="134"/>
      <c r="F8" s="134"/>
      <c r="G8" s="135"/>
      <c r="H8" s="104"/>
      <c r="I8" s="105"/>
      <c r="J8" s="105"/>
      <c r="K8" s="105"/>
      <c r="L8" s="106"/>
      <c r="N8" s="133"/>
      <c r="O8" s="134"/>
      <c r="P8" s="134"/>
      <c r="Q8" s="134"/>
      <c r="R8" s="134"/>
      <c r="S8" s="135"/>
      <c r="T8" s="104"/>
      <c r="U8" s="105"/>
      <c r="V8" s="105"/>
      <c r="W8" s="105"/>
      <c r="X8" s="106"/>
    </row>
    <row r="9" spans="2:24" ht="15.75" thickBot="1" x14ac:dyDescent="0.3">
      <c r="B9" s="2"/>
      <c r="C9" s="2"/>
      <c r="D9" s="2"/>
      <c r="E9" s="2"/>
      <c r="F9" s="2"/>
      <c r="G9" s="2"/>
      <c r="H9" s="2"/>
      <c r="I9" s="2"/>
      <c r="J9" s="2"/>
      <c r="K9" s="2"/>
      <c r="L9" s="2"/>
    </row>
    <row r="10" spans="2:24" x14ac:dyDescent="0.25">
      <c r="B10" s="127" t="s">
        <v>190</v>
      </c>
      <c r="C10" s="128"/>
      <c r="D10" s="128"/>
      <c r="E10" s="128"/>
      <c r="F10" s="128"/>
      <c r="G10" s="129"/>
      <c r="H10" s="98"/>
      <c r="I10" s="99"/>
      <c r="J10" s="99"/>
      <c r="K10" s="99"/>
      <c r="L10" s="100"/>
      <c r="N10" s="127" t="s">
        <v>193</v>
      </c>
      <c r="O10" s="128"/>
      <c r="P10" s="128"/>
      <c r="Q10" s="128"/>
      <c r="R10" s="128"/>
      <c r="S10" s="129"/>
      <c r="T10" s="98"/>
      <c r="U10" s="99"/>
      <c r="V10" s="99"/>
      <c r="W10" s="99"/>
      <c r="X10" s="100"/>
    </row>
    <row r="11" spans="2:24" x14ac:dyDescent="0.25">
      <c r="B11" s="130"/>
      <c r="C11" s="131"/>
      <c r="D11" s="131"/>
      <c r="E11" s="131"/>
      <c r="F11" s="131"/>
      <c r="G11" s="132"/>
      <c r="H11" s="101"/>
      <c r="I11" s="102"/>
      <c r="J11" s="102"/>
      <c r="K11" s="102"/>
      <c r="L11" s="103"/>
      <c r="N11" s="130"/>
      <c r="O11" s="131"/>
      <c r="P11" s="131"/>
      <c r="Q11" s="131"/>
      <c r="R11" s="131"/>
      <c r="S11" s="132"/>
      <c r="T11" s="101"/>
      <c r="U11" s="102"/>
      <c r="V11" s="102"/>
      <c r="W11" s="102"/>
      <c r="X11" s="103"/>
    </row>
    <row r="12" spans="2:24" x14ac:dyDescent="0.25">
      <c r="B12" s="130"/>
      <c r="C12" s="131"/>
      <c r="D12" s="131"/>
      <c r="E12" s="131"/>
      <c r="F12" s="131"/>
      <c r="G12" s="132"/>
      <c r="H12" s="101"/>
      <c r="I12" s="102"/>
      <c r="J12" s="102"/>
      <c r="K12" s="102"/>
      <c r="L12" s="103"/>
      <c r="N12" s="130"/>
      <c r="O12" s="131"/>
      <c r="P12" s="131"/>
      <c r="Q12" s="131"/>
      <c r="R12" s="131"/>
      <c r="S12" s="132"/>
      <c r="T12" s="101"/>
      <c r="U12" s="102"/>
      <c r="V12" s="102"/>
      <c r="W12" s="102"/>
      <c r="X12" s="103"/>
    </row>
    <row r="13" spans="2:24" x14ac:dyDescent="0.25">
      <c r="B13" s="130"/>
      <c r="C13" s="131"/>
      <c r="D13" s="131"/>
      <c r="E13" s="131"/>
      <c r="F13" s="131"/>
      <c r="G13" s="132"/>
      <c r="H13" s="101"/>
      <c r="I13" s="102"/>
      <c r="J13" s="102"/>
      <c r="K13" s="102"/>
      <c r="L13" s="103"/>
      <c r="N13" s="130"/>
      <c r="O13" s="131"/>
      <c r="P13" s="131"/>
      <c r="Q13" s="131"/>
      <c r="R13" s="131"/>
      <c r="S13" s="132"/>
      <c r="T13" s="101"/>
      <c r="U13" s="102"/>
      <c r="V13" s="102"/>
      <c r="W13" s="102"/>
      <c r="X13" s="103"/>
    </row>
    <row r="14" spans="2:24" ht="15.75" thickBot="1" x14ac:dyDescent="0.3">
      <c r="B14" s="133"/>
      <c r="C14" s="134"/>
      <c r="D14" s="134"/>
      <c r="E14" s="134"/>
      <c r="F14" s="134"/>
      <c r="G14" s="135"/>
      <c r="H14" s="104"/>
      <c r="I14" s="105"/>
      <c r="J14" s="105"/>
      <c r="K14" s="105"/>
      <c r="L14" s="106"/>
      <c r="N14" s="133"/>
      <c r="O14" s="134"/>
      <c r="P14" s="134"/>
      <c r="Q14" s="134"/>
      <c r="R14" s="134"/>
      <c r="S14" s="135"/>
      <c r="T14" s="104"/>
      <c r="U14" s="105"/>
      <c r="V14" s="105"/>
      <c r="W14" s="105"/>
      <c r="X14" s="106"/>
    </row>
    <row r="15" spans="2:24" ht="15.75" thickBot="1" x14ac:dyDescent="0.3">
      <c r="B15" s="2"/>
      <c r="C15" s="2"/>
      <c r="D15" s="2"/>
      <c r="E15" s="2"/>
      <c r="F15" s="2"/>
      <c r="G15" s="2"/>
      <c r="H15" s="2"/>
      <c r="I15" s="2"/>
      <c r="J15" s="2"/>
      <c r="K15" s="2"/>
      <c r="L15" s="2"/>
      <c r="M15" s="2"/>
    </row>
    <row r="16" spans="2:24" x14ac:dyDescent="0.25">
      <c r="B16" s="127" t="s">
        <v>191</v>
      </c>
      <c r="C16" s="128"/>
      <c r="D16" s="128"/>
      <c r="E16" s="128"/>
      <c r="F16" s="128"/>
      <c r="G16" s="129"/>
      <c r="H16" s="98"/>
      <c r="I16" s="99"/>
      <c r="J16" s="99"/>
      <c r="K16" s="99"/>
      <c r="L16" s="100"/>
      <c r="N16" s="127" t="s">
        <v>194</v>
      </c>
      <c r="O16" s="128"/>
      <c r="P16" s="128"/>
      <c r="Q16" s="128"/>
      <c r="R16" s="128"/>
      <c r="S16" s="129"/>
      <c r="T16" s="98"/>
      <c r="U16" s="99"/>
      <c r="V16" s="99"/>
      <c r="W16" s="99"/>
      <c r="X16" s="100"/>
    </row>
    <row r="17" spans="2:24" x14ac:dyDescent="0.25">
      <c r="B17" s="130"/>
      <c r="C17" s="131"/>
      <c r="D17" s="131"/>
      <c r="E17" s="131"/>
      <c r="F17" s="131"/>
      <c r="G17" s="132"/>
      <c r="H17" s="101"/>
      <c r="I17" s="102"/>
      <c r="J17" s="102"/>
      <c r="K17" s="102"/>
      <c r="L17" s="103"/>
      <c r="N17" s="130"/>
      <c r="O17" s="131"/>
      <c r="P17" s="131"/>
      <c r="Q17" s="131"/>
      <c r="R17" s="131"/>
      <c r="S17" s="132"/>
      <c r="T17" s="101"/>
      <c r="U17" s="102"/>
      <c r="V17" s="102"/>
      <c r="W17" s="102"/>
      <c r="X17" s="103"/>
    </row>
    <row r="18" spans="2:24" x14ac:dyDescent="0.25">
      <c r="B18" s="130"/>
      <c r="C18" s="131"/>
      <c r="D18" s="131"/>
      <c r="E18" s="131"/>
      <c r="F18" s="131"/>
      <c r="G18" s="132"/>
      <c r="H18" s="101"/>
      <c r="I18" s="102"/>
      <c r="J18" s="102"/>
      <c r="K18" s="102"/>
      <c r="L18" s="103"/>
      <c r="N18" s="130"/>
      <c r="O18" s="131"/>
      <c r="P18" s="131"/>
      <c r="Q18" s="131"/>
      <c r="R18" s="131"/>
      <c r="S18" s="132"/>
      <c r="T18" s="101"/>
      <c r="U18" s="102"/>
      <c r="V18" s="102"/>
      <c r="W18" s="102"/>
      <c r="X18" s="103"/>
    </row>
    <row r="19" spans="2:24" x14ac:dyDescent="0.25">
      <c r="B19" s="130"/>
      <c r="C19" s="131"/>
      <c r="D19" s="131"/>
      <c r="E19" s="131"/>
      <c r="F19" s="131"/>
      <c r="G19" s="132"/>
      <c r="H19" s="101"/>
      <c r="I19" s="102"/>
      <c r="J19" s="102"/>
      <c r="K19" s="102"/>
      <c r="L19" s="103"/>
      <c r="N19" s="130"/>
      <c r="O19" s="131"/>
      <c r="P19" s="131"/>
      <c r="Q19" s="131"/>
      <c r="R19" s="131"/>
      <c r="S19" s="132"/>
      <c r="T19" s="101"/>
      <c r="U19" s="102"/>
      <c r="V19" s="102"/>
      <c r="W19" s="102"/>
      <c r="X19" s="103"/>
    </row>
    <row r="20" spans="2:24" ht="15.75" thickBot="1" x14ac:dyDescent="0.3">
      <c r="B20" s="133"/>
      <c r="C20" s="134"/>
      <c r="D20" s="134"/>
      <c r="E20" s="134"/>
      <c r="F20" s="134"/>
      <c r="G20" s="135"/>
      <c r="H20" s="104"/>
      <c r="I20" s="105"/>
      <c r="J20" s="105"/>
      <c r="K20" s="105"/>
      <c r="L20" s="106"/>
      <c r="N20" s="133"/>
      <c r="O20" s="134"/>
      <c r="P20" s="134"/>
      <c r="Q20" s="134"/>
      <c r="R20" s="134"/>
      <c r="S20" s="135"/>
      <c r="T20" s="104"/>
      <c r="U20" s="105"/>
      <c r="V20" s="105"/>
      <c r="W20" s="105"/>
      <c r="X20" s="106"/>
    </row>
    <row r="23" spans="2:24" x14ac:dyDescent="0.25">
      <c r="D23" s="119" t="s">
        <v>197</v>
      </c>
      <c r="E23" s="118"/>
      <c r="F23" s="118"/>
      <c r="G23" s="118"/>
      <c r="H23" s="118"/>
      <c r="I23" s="118"/>
      <c r="J23" s="118"/>
      <c r="K23" s="118"/>
      <c r="L23" s="118"/>
      <c r="M23" s="118"/>
      <c r="N23" s="118"/>
      <c r="O23" s="118"/>
      <c r="P23" s="118"/>
      <c r="Q23" s="118"/>
      <c r="R23" s="118"/>
      <c r="S23" s="118"/>
    </row>
    <row r="24" spans="2:24" x14ac:dyDescent="0.25">
      <c r="D24" s="120" t="s">
        <v>198</v>
      </c>
      <c r="E24" s="118"/>
      <c r="F24" s="118"/>
      <c r="G24" s="118"/>
      <c r="H24" s="118"/>
      <c r="I24" s="118"/>
      <c r="J24" s="118"/>
      <c r="K24" s="118"/>
      <c r="L24" s="118"/>
      <c r="M24" s="118"/>
      <c r="N24" s="118"/>
      <c r="O24" s="118"/>
      <c r="P24" s="118"/>
      <c r="Q24" s="118"/>
      <c r="R24" s="118"/>
      <c r="S24" s="118"/>
    </row>
    <row r="25" spans="2:24" x14ac:dyDescent="0.25">
      <c r="D25" s="118" t="s">
        <v>200</v>
      </c>
      <c r="E25" s="118"/>
      <c r="F25" s="118"/>
      <c r="G25" s="118"/>
      <c r="H25" s="118"/>
      <c r="I25" s="118"/>
      <c r="J25" s="118"/>
      <c r="K25" s="118"/>
      <c r="L25" s="118"/>
      <c r="M25" s="118"/>
      <c r="N25" s="118"/>
      <c r="O25" s="118"/>
      <c r="P25" s="118"/>
      <c r="Q25" s="118"/>
      <c r="R25" s="118"/>
      <c r="S25" s="118"/>
    </row>
    <row r="26" spans="2:24" x14ac:dyDescent="0.25">
      <c r="D26" s="118" t="s">
        <v>199</v>
      </c>
      <c r="E26" s="118"/>
      <c r="F26" s="118"/>
      <c r="G26" s="118"/>
      <c r="H26" s="118"/>
      <c r="I26" s="118"/>
      <c r="J26" s="118"/>
      <c r="K26" s="118"/>
      <c r="L26" s="118"/>
      <c r="M26" s="118"/>
      <c r="N26" s="118"/>
      <c r="O26" s="118"/>
      <c r="P26" s="118"/>
      <c r="Q26" s="118"/>
      <c r="R26" s="118"/>
      <c r="S26" s="118"/>
    </row>
  </sheetData>
  <sheetProtection password="83AF" sheet="1" objects="1" scenarios="1" selectLockedCells="1"/>
  <mergeCells count="6">
    <mergeCell ref="N4:S8"/>
    <mergeCell ref="N10:S14"/>
    <mergeCell ref="N16:S20"/>
    <mergeCell ref="B4:G8"/>
    <mergeCell ref="B10:G14"/>
    <mergeCell ref="B16:G20"/>
  </mergeCells>
  <pageMargins left="0.7" right="0.7" top="0.75" bottom="0.75" header="0.3" footer="0.3"/>
  <pageSetup orientation="portrait" r:id="rId1"/>
  <headerFooter>
    <oddFooter>&amp;LRESTRICTED</oddFooter>
    <evenFooter>&amp;LRESTRICTED</evenFooter>
    <firstFooter>&amp;LRESTRICTED</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oTo_IntBizTravel">
                <anchor moveWithCells="1" sizeWithCells="1">
                  <from>
                    <xdr:col>8</xdr:col>
                    <xdr:colOff>9525</xdr:colOff>
                    <xdr:row>4</xdr:row>
                    <xdr:rowOff>9525</xdr:rowOff>
                  </from>
                  <to>
                    <xdr:col>11</xdr:col>
                    <xdr:colOff>9525</xdr:colOff>
                    <xdr:row>7</xdr:row>
                    <xdr:rowOff>9525</xdr:rowOff>
                  </to>
                </anchor>
              </controlPr>
            </control>
          </mc:Choice>
        </mc:AlternateContent>
        <mc:AlternateContent xmlns:mc="http://schemas.openxmlformats.org/markup-compatibility/2006">
          <mc:Choice Requires="x14">
            <control shapeId="4099" r:id="rId5" name="Button 3">
              <controlPr defaultSize="0" print="0" autoFill="0" autoPict="0" macro="[0]!GoTo_RelocationFormA">
                <anchor moveWithCells="1" sizeWithCells="1">
                  <from>
                    <xdr:col>8</xdr:col>
                    <xdr:colOff>0</xdr:colOff>
                    <xdr:row>10</xdr:row>
                    <xdr:rowOff>0</xdr:rowOff>
                  </from>
                  <to>
                    <xdr:col>11</xdr:col>
                    <xdr:colOff>0</xdr:colOff>
                    <xdr:row>13</xdr:row>
                    <xdr:rowOff>0</xdr:rowOff>
                  </to>
                </anchor>
              </controlPr>
            </control>
          </mc:Choice>
        </mc:AlternateContent>
        <mc:AlternateContent xmlns:mc="http://schemas.openxmlformats.org/markup-compatibility/2006">
          <mc:Choice Requires="x14">
            <control shapeId="4101" r:id="rId6" name="Button 5">
              <controlPr defaultSize="0" print="0" autoFill="0" autoPict="0" macro="[0]!GoTo_CorpCardExpense">
                <anchor moveWithCells="1" sizeWithCells="1">
                  <from>
                    <xdr:col>8</xdr:col>
                    <xdr:colOff>0</xdr:colOff>
                    <xdr:row>16</xdr:row>
                    <xdr:rowOff>9525</xdr:rowOff>
                  </from>
                  <to>
                    <xdr:col>11</xdr:col>
                    <xdr:colOff>0</xdr:colOff>
                    <xdr:row>19</xdr:row>
                    <xdr:rowOff>9525</xdr:rowOff>
                  </to>
                </anchor>
              </controlPr>
            </control>
          </mc:Choice>
        </mc:AlternateContent>
        <mc:AlternateContent xmlns:mc="http://schemas.openxmlformats.org/markup-compatibility/2006">
          <mc:Choice Requires="x14">
            <control shapeId="4103" r:id="rId7" name="Button 7">
              <controlPr defaultSize="0" print="0" autoFill="0" autoPict="0" macro="[0]!GoTo_DomBizTravel">
                <anchor moveWithCells="1" sizeWithCells="1">
                  <from>
                    <xdr:col>20</xdr:col>
                    <xdr:colOff>0</xdr:colOff>
                    <xdr:row>4</xdr:row>
                    <xdr:rowOff>9525</xdr:rowOff>
                  </from>
                  <to>
                    <xdr:col>23</xdr:col>
                    <xdr:colOff>0</xdr:colOff>
                    <xdr:row>7</xdr:row>
                    <xdr:rowOff>9525</xdr:rowOff>
                  </to>
                </anchor>
              </controlPr>
            </control>
          </mc:Choice>
        </mc:AlternateContent>
        <mc:AlternateContent xmlns:mc="http://schemas.openxmlformats.org/markup-compatibility/2006">
          <mc:Choice Requires="x14">
            <control shapeId="4104" r:id="rId8" name="Button 8">
              <controlPr defaultSize="0" print="0" autoFill="0" autoPict="0" macro="[0]!GoTo_RelocationFormB">
                <anchor moveWithCells="1" sizeWithCells="1">
                  <from>
                    <xdr:col>20</xdr:col>
                    <xdr:colOff>0</xdr:colOff>
                    <xdr:row>10</xdr:row>
                    <xdr:rowOff>9525</xdr:rowOff>
                  </from>
                  <to>
                    <xdr:col>23</xdr:col>
                    <xdr:colOff>0</xdr:colOff>
                    <xdr:row>13</xdr:row>
                    <xdr:rowOff>9525</xdr:rowOff>
                  </to>
                </anchor>
              </controlPr>
            </control>
          </mc:Choice>
        </mc:AlternateContent>
        <mc:AlternateContent xmlns:mc="http://schemas.openxmlformats.org/markup-compatibility/2006">
          <mc:Choice Requires="x14">
            <control shapeId="4105" r:id="rId9" name="Button 9">
              <controlPr defaultSize="0" print="0" autoFill="0" autoPict="0" macro="[0]!GoTo_Others">
                <anchor moveWithCells="1" sizeWithCells="1">
                  <from>
                    <xdr:col>20</xdr:col>
                    <xdr:colOff>0</xdr:colOff>
                    <xdr:row>16</xdr:row>
                    <xdr:rowOff>9525</xdr:rowOff>
                  </from>
                  <to>
                    <xdr:col>23</xdr:col>
                    <xdr:colOff>0</xdr:colOff>
                    <xdr:row>19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S208"/>
  <sheetViews>
    <sheetView showGridLines="0" showRowColHeaders="0" zoomScale="140" zoomScaleNormal="140" workbookViewId="0">
      <selection activeCell="E7" sqref="E7:F7"/>
    </sheetView>
  </sheetViews>
  <sheetFormatPr defaultRowHeight="15" x14ac:dyDescent="0.25"/>
  <cols>
    <col min="1" max="2" width="3.7109375" customWidth="1"/>
    <col min="5" max="5" width="10.140625" customWidth="1"/>
    <col min="6" max="6" width="13.140625" customWidth="1"/>
    <col min="7" max="7" width="8" customWidth="1"/>
    <col min="8" max="8" width="12.7109375" customWidth="1"/>
    <col min="9" max="9" width="13.140625" customWidth="1"/>
    <col min="10" max="10" width="13.85546875" customWidth="1"/>
    <col min="11" max="11" width="13.28515625" customWidth="1"/>
    <col min="12" max="12" width="3.85546875" customWidth="1"/>
    <col min="13" max="13" width="3.7109375" customWidth="1"/>
  </cols>
  <sheetData>
    <row r="1" spans="2:12" ht="15" customHeight="1" thickBot="1" x14ac:dyDescent="0.3"/>
    <row r="2" spans="2:12" ht="8.25" customHeight="1" x14ac:dyDescent="0.25">
      <c r="B2" s="15"/>
      <c r="C2" s="16"/>
      <c r="D2" s="16"/>
      <c r="E2" s="16"/>
      <c r="F2" s="16"/>
      <c r="G2" s="16"/>
      <c r="H2" s="16"/>
      <c r="I2" s="16"/>
      <c r="J2" s="16"/>
      <c r="K2" s="157">
        <v>1</v>
      </c>
      <c r="L2" s="158"/>
    </row>
    <row r="3" spans="2:12" ht="15.75" x14ac:dyDescent="0.25">
      <c r="B3" s="18"/>
      <c r="C3" s="156" t="s">
        <v>201</v>
      </c>
      <c r="D3" s="156"/>
      <c r="E3" s="156"/>
      <c r="F3" s="156"/>
      <c r="G3" s="156"/>
      <c r="H3" s="156"/>
      <c r="I3" s="156"/>
      <c r="J3" s="156"/>
      <c r="K3" s="159"/>
      <c r="L3" s="160"/>
    </row>
    <row r="4" spans="2:12" ht="15.75" thickBot="1" x14ac:dyDescent="0.3">
      <c r="B4" s="18"/>
      <c r="C4" s="13"/>
      <c r="D4" s="2"/>
      <c r="E4" s="2"/>
      <c r="F4" s="2"/>
      <c r="G4" s="13" t="s">
        <v>0</v>
      </c>
      <c r="H4" s="2"/>
      <c r="I4" s="2"/>
      <c r="J4" s="2"/>
      <c r="K4" s="2"/>
      <c r="L4" s="19"/>
    </row>
    <row r="5" spans="2:12" ht="15.75" thickBot="1" x14ac:dyDescent="0.3">
      <c r="B5" s="18"/>
      <c r="C5" s="2"/>
      <c r="D5" s="2"/>
      <c r="E5" s="2"/>
      <c r="F5" s="2"/>
      <c r="G5" s="2"/>
      <c r="H5" s="2"/>
      <c r="I5" s="2"/>
      <c r="J5" s="13" t="s">
        <v>1</v>
      </c>
      <c r="K5" s="93">
        <v>1</v>
      </c>
      <c r="L5" s="19"/>
    </row>
    <row r="6" spans="2:12" ht="15.75" thickBot="1" x14ac:dyDescent="0.3">
      <c r="B6" s="18"/>
      <c r="C6" s="2"/>
      <c r="D6" s="2"/>
      <c r="E6" s="2"/>
      <c r="F6" s="2"/>
      <c r="G6" s="2"/>
      <c r="H6" s="2"/>
      <c r="I6" s="2"/>
      <c r="J6" s="2"/>
      <c r="K6" s="2"/>
      <c r="L6" s="19"/>
    </row>
    <row r="7" spans="2:12" ht="15.75" thickBot="1" x14ac:dyDescent="0.3">
      <c r="B7" s="18"/>
      <c r="C7" s="139" t="s">
        <v>107</v>
      </c>
      <c r="D7" s="139"/>
      <c r="E7" s="154"/>
      <c r="F7" s="155"/>
      <c r="G7" s="13"/>
      <c r="H7" s="13" t="s">
        <v>99</v>
      </c>
      <c r="I7" s="154"/>
      <c r="J7" s="155"/>
      <c r="K7" s="13"/>
      <c r="L7" s="19"/>
    </row>
    <row r="8" spans="2:12" ht="15.75" thickBot="1" x14ac:dyDescent="0.3">
      <c r="B8" s="18"/>
      <c r="C8" s="139" t="s">
        <v>80</v>
      </c>
      <c r="D8" s="139"/>
      <c r="E8" s="154"/>
      <c r="F8" s="155"/>
      <c r="G8" s="13"/>
      <c r="H8" s="20" t="s">
        <v>32</v>
      </c>
      <c r="I8" s="154"/>
      <c r="J8" s="155"/>
      <c r="K8" s="13"/>
      <c r="L8" s="19"/>
    </row>
    <row r="9" spans="2:12" ht="15.75" thickBot="1" x14ac:dyDescent="0.3">
      <c r="B9" s="18"/>
      <c r="C9" s="139" t="s">
        <v>138</v>
      </c>
      <c r="D9" s="139"/>
      <c r="E9" s="166"/>
      <c r="F9" s="167"/>
      <c r="G9" s="13"/>
      <c r="H9" s="13" t="s">
        <v>2</v>
      </c>
      <c r="I9" s="13"/>
      <c r="J9" s="13"/>
      <c r="K9" s="13"/>
      <c r="L9" s="19"/>
    </row>
    <row r="10" spans="2:12" ht="15.75" thickBot="1" x14ac:dyDescent="0.3">
      <c r="B10" s="18"/>
      <c r="C10" s="168" t="s">
        <v>139</v>
      </c>
      <c r="D10" s="168"/>
      <c r="E10" s="162"/>
      <c r="F10" s="163"/>
      <c r="G10" s="13"/>
      <c r="H10" s="13" t="s">
        <v>34</v>
      </c>
      <c r="I10" s="93">
        <v>1</v>
      </c>
      <c r="J10" s="13" t="s">
        <v>35</v>
      </c>
      <c r="K10" s="93">
        <v>1</v>
      </c>
      <c r="L10" s="19"/>
    </row>
    <row r="11" spans="2:12" ht="28.5" customHeight="1" thickBot="1" x14ac:dyDescent="0.3">
      <c r="B11" s="18"/>
      <c r="C11" s="168"/>
      <c r="D11" s="168"/>
      <c r="E11" s="164"/>
      <c r="F11" s="165"/>
      <c r="G11" s="13"/>
      <c r="H11" s="21" t="s">
        <v>82</v>
      </c>
      <c r="I11" s="93">
        <v>1</v>
      </c>
      <c r="J11" s="21" t="s">
        <v>83</v>
      </c>
      <c r="K11" s="93">
        <v>1</v>
      </c>
      <c r="L11" s="19"/>
    </row>
    <row r="12" spans="2:12" ht="9" customHeight="1" x14ac:dyDescent="0.25">
      <c r="B12" s="18"/>
      <c r="C12" s="2"/>
      <c r="D12" s="2"/>
      <c r="E12" s="1"/>
      <c r="F12" s="1"/>
      <c r="G12" s="2"/>
      <c r="H12" s="2"/>
      <c r="I12" s="2"/>
      <c r="J12" s="2"/>
      <c r="K12" s="2"/>
      <c r="L12" s="19"/>
    </row>
    <row r="13" spans="2:12" ht="7.5" customHeight="1" thickBot="1" x14ac:dyDescent="0.3">
      <c r="B13" s="37"/>
      <c r="C13" s="31"/>
      <c r="D13" s="31"/>
      <c r="E13" s="32"/>
      <c r="F13" s="32"/>
      <c r="G13" s="31"/>
      <c r="H13" s="31"/>
      <c r="I13" s="31"/>
      <c r="J13" s="31"/>
      <c r="K13" s="31"/>
      <c r="L13" s="38"/>
    </row>
    <row r="14" spans="2:12" ht="15.75" thickBot="1" x14ac:dyDescent="0.3">
      <c r="B14" s="18"/>
      <c r="C14" s="147" t="s">
        <v>25</v>
      </c>
      <c r="D14" s="161"/>
      <c r="E14" s="154"/>
      <c r="F14" s="155"/>
      <c r="G14" s="13"/>
      <c r="H14" s="5" t="s">
        <v>63</v>
      </c>
      <c r="I14" s="187"/>
      <c r="J14" s="188"/>
      <c r="K14" s="189"/>
      <c r="L14" s="23"/>
    </row>
    <row r="15" spans="2:12" ht="7.5" customHeight="1" x14ac:dyDescent="0.25">
      <c r="B15" s="39"/>
      <c r="C15" s="4"/>
      <c r="D15" s="10"/>
      <c r="E15" s="11"/>
      <c r="F15" s="11"/>
      <c r="G15" s="10"/>
      <c r="H15" s="4"/>
      <c r="I15" s="14"/>
      <c r="J15" s="14"/>
      <c r="K15" s="14"/>
      <c r="L15" s="40"/>
    </row>
    <row r="16" spans="2:12" ht="7.5" customHeight="1" x14ac:dyDescent="0.25">
      <c r="B16" s="18"/>
      <c r="C16" s="5"/>
      <c r="D16" s="2"/>
      <c r="E16" s="1"/>
      <c r="F16" s="1"/>
      <c r="G16" s="2"/>
      <c r="H16" s="5"/>
      <c r="I16" s="3"/>
      <c r="J16" s="3"/>
      <c r="K16" s="3"/>
      <c r="L16" s="23"/>
    </row>
    <row r="17" spans="2:12" x14ac:dyDescent="0.25">
      <c r="B17" s="18"/>
      <c r="C17" s="186" t="s">
        <v>26</v>
      </c>
      <c r="D17" s="186"/>
      <c r="E17" s="186"/>
      <c r="F17" s="186"/>
      <c r="G17" s="186"/>
      <c r="H17" s="186"/>
      <c r="I17" s="186"/>
      <c r="J17" s="186"/>
      <c r="K17" s="186"/>
      <c r="L17" s="25"/>
    </row>
    <row r="18" spans="2:12" x14ac:dyDescent="0.25">
      <c r="B18" s="18"/>
      <c r="C18" s="24"/>
      <c r="D18" s="24"/>
      <c r="E18" s="24"/>
      <c r="F18" s="24"/>
      <c r="G18" s="24"/>
      <c r="H18" s="24"/>
      <c r="I18" s="24"/>
      <c r="J18" s="24"/>
      <c r="K18" s="24"/>
      <c r="L18" s="25"/>
    </row>
    <row r="19" spans="2:12" x14ac:dyDescent="0.25">
      <c r="B19" s="18"/>
      <c r="C19" s="191" t="s">
        <v>113</v>
      </c>
      <c r="D19" s="191"/>
      <c r="E19" s="191"/>
      <c r="F19" s="191"/>
      <c r="G19" s="191"/>
      <c r="H19" s="24"/>
      <c r="I19" s="24"/>
      <c r="J19" s="24"/>
      <c r="K19" s="24"/>
      <c r="L19" s="25"/>
    </row>
    <row r="20" spans="2:12" x14ac:dyDescent="0.25">
      <c r="B20" s="18"/>
      <c r="C20" s="26"/>
      <c r="D20" s="24"/>
      <c r="E20" s="24"/>
      <c r="F20" s="24"/>
      <c r="G20" s="24"/>
      <c r="H20" s="24"/>
      <c r="I20" s="24"/>
      <c r="J20" s="24"/>
      <c r="K20" s="24"/>
      <c r="L20" s="25"/>
    </row>
    <row r="21" spans="2:12" x14ac:dyDescent="0.25">
      <c r="B21" s="18"/>
      <c r="C21" s="13"/>
      <c r="D21" s="13"/>
      <c r="E21" s="13"/>
      <c r="F21" s="13"/>
      <c r="G21" s="13"/>
      <c r="H21" s="184" t="s">
        <v>14</v>
      </c>
      <c r="I21" s="185"/>
      <c r="J21" s="108" t="s">
        <v>9</v>
      </c>
      <c r="K21" s="13"/>
      <c r="L21" s="19"/>
    </row>
    <row r="22" spans="2:12" x14ac:dyDescent="0.25">
      <c r="B22" s="18"/>
      <c r="C22" s="13"/>
      <c r="D22" s="184" t="s">
        <v>4</v>
      </c>
      <c r="E22" s="192"/>
      <c r="F22" s="192"/>
      <c r="G22" s="185"/>
      <c r="H22" s="193"/>
      <c r="I22" s="194"/>
      <c r="J22" s="107">
        <f>SUM('Int Advance'!G6:G161)</f>
        <v>0</v>
      </c>
      <c r="K22" s="13"/>
      <c r="L22" s="19"/>
    </row>
    <row r="23" spans="2:12" x14ac:dyDescent="0.25">
      <c r="B23" s="18"/>
      <c r="C23" s="13"/>
      <c r="D23" s="7"/>
      <c r="E23" s="7"/>
      <c r="F23" s="7"/>
      <c r="G23" s="13"/>
      <c r="H23" s="13"/>
      <c r="I23" s="13"/>
      <c r="J23" s="13"/>
      <c r="K23" s="13"/>
      <c r="L23" s="19"/>
    </row>
    <row r="24" spans="2:12" x14ac:dyDescent="0.25">
      <c r="B24" s="18"/>
      <c r="C24" s="191" t="s">
        <v>114</v>
      </c>
      <c r="D24" s="191"/>
      <c r="E24" s="191"/>
      <c r="F24" s="191"/>
      <c r="G24" s="191"/>
      <c r="H24" s="13"/>
      <c r="I24" s="13"/>
      <c r="J24" s="13"/>
      <c r="K24" s="13"/>
      <c r="L24" s="19"/>
    </row>
    <row r="25" spans="2:12" x14ac:dyDescent="0.25">
      <c r="B25" s="18"/>
      <c r="C25" s="13"/>
      <c r="D25" s="7"/>
      <c r="E25" s="7"/>
      <c r="F25" s="7"/>
      <c r="G25" s="13"/>
      <c r="H25" s="13"/>
      <c r="I25" s="13"/>
      <c r="J25" s="13"/>
      <c r="K25" s="13"/>
      <c r="L25" s="19"/>
    </row>
    <row r="26" spans="2:12" x14ac:dyDescent="0.25">
      <c r="B26" s="18"/>
      <c r="C26" s="13"/>
      <c r="D26" s="13"/>
      <c r="E26" s="13"/>
      <c r="F26" s="13"/>
      <c r="G26" s="13"/>
      <c r="H26" s="195" t="s">
        <v>14</v>
      </c>
      <c r="I26" s="196"/>
      <c r="J26" s="110" t="s">
        <v>9</v>
      </c>
      <c r="K26" s="13"/>
      <c r="L26" s="19"/>
    </row>
    <row r="27" spans="2:12" x14ac:dyDescent="0.25">
      <c r="B27" s="18"/>
      <c r="C27" s="13"/>
      <c r="D27" s="195" t="s">
        <v>8</v>
      </c>
      <c r="E27" s="200"/>
      <c r="F27" s="200"/>
      <c r="G27" s="196"/>
      <c r="H27" s="197"/>
      <c r="I27" s="198"/>
      <c r="J27" s="109">
        <f>SUM('Int Expense'!G6:G61)</f>
        <v>0</v>
      </c>
      <c r="K27" s="13"/>
      <c r="L27" s="19"/>
    </row>
    <row r="28" spans="2:12" x14ac:dyDescent="0.25">
      <c r="B28" s="18"/>
      <c r="C28" s="13"/>
      <c r="D28" s="33"/>
      <c r="E28" s="33"/>
      <c r="F28" s="33"/>
      <c r="G28" s="33"/>
      <c r="H28" s="13"/>
      <c r="I28" s="13"/>
      <c r="J28" s="13"/>
      <c r="K28" s="13"/>
      <c r="L28" s="19"/>
    </row>
    <row r="29" spans="2:12" x14ac:dyDescent="0.25">
      <c r="B29" s="37"/>
      <c r="C29" s="41" t="s">
        <v>70</v>
      </c>
      <c r="D29" s="42"/>
      <c r="E29" s="42"/>
      <c r="F29" s="42"/>
      <c r="G29" s="42"/>
      <c r="H29" s="31"/>
      <c r="I29" s="31"/>
      <c r="J29" s="31"/>
      <c r="K29" s="31"/>
      <c r="L29" s="38"/>
    </row>
    <row r="30" spans="2:12" x14ac:dyDescent="0.25">
      <c r="B30" s="18"/>
      <c r="C30" s="2"/>
      <c r="D30" s="2"/>
      <c r="E30" s="2"/>
      <c r="F30" s="2"/>
      <c r="G30" s="2"/>
      <c r="H30" s="172" t="s">
        <v>14</v>
      </c>
      <c r="I30" s="174"/>
      <c r="J30" s="112" t="s">
        <v>9</v>
      </c>
      <c r="K30" s="2"/>
      <c r="L30" s="19"/>
    </row>
    <row r="31" spans="2:12" x14ac:dyDescent="0.25">
      <c r="B31" s="18"/>
      <c r="C31" s="13"/>
      <c r="D31" s="199" t="s">
        <v>10</v>
      </c>
      <c r="E31" s="199"/>
      <c r="F31" s="199"/>
      <c r="G31" s="199"/>
      <c r="H31" s="169" t="str">
        <f>IF(LEN(H22)&gt;0,H22,"")</f>
        <v/>
      </c>
      <c r="I31" s="170"/>
      <c r="J31" s="111">
        <f>IF(LEN(J22)&gt;0,J22,"")</f>
        <v>0</v>
      </c>
      <c r="K31" s="13"/>
      <c r="L31" s="19"/>
    </row>
    <row r="32" spans="2:12" x14ac:dyDescent="0.25">
      <c r="B32" s="18"/>
      <c r="C32" s="13"/>
      <c r="D32" s="172" t="s">
        <v>8</v>
      </c>
      <c r="E32" s="173"/>
      <c r="F32" s="173"/>
      <c r="G32" s="174"/>
      <c r="H32" s="169" t="str">
        <f>IF(LEN(H27)&gt;0,H27,"")</f>
        <v/>
      </c>
      <c r="I32" s="170"/>
      <c r="J32" s="111">
        <f>IF(LEN(J27)&gt;0,J27,"")</f>
        <v>0</v>
      </c>
      <c r="K32" s="13"/>
      <c r="L32" s="19"/>
    </row>
    <row r="33" spans="2:19" x14ac:dyDescent="0.25">
      <c r="B33" s="18"/>
      <c r="C33" s="13"/>
      <c r="D33" s="199" t="str">
        <f>IF(J31&gt;J32,"Total Payable by Employee (A) - (B)","Total Payable by HSDI (A) - (B)")</f>
        <v>Total Payable by HSDI (A) - (B)</v>
      </c>
      <c r="E33" s="199"/>
      <c r="F33" s="199"/>
      <c r="G33" s="199"/>
      <c r="H33" s="169" t="str">
        <f>IF(H31=H32,H31,"Adv. &amp; Exp. currency don't match")</f>
        <v/>
      </c>
      <c r="I33" s="170"/>
      <c r="J33" s="111">
        <f>IF(AND(LEN(J31)&gt;0,LEN(J32)&gt;0),IF(I33&lt;&gt;"Please enter a currency",ABS(J31-J32),"Please enter the amount"),"")</f>
        <v>0</v>
      </c>
      <c r="K33" s="13"/>
      <c r="L33" s="19"/>
    </row>
    <row r="34" spans="2:19" x14ac:dyDescent="0.25">
      <c r="B34" s="39"/>
      <c r="C34" s="10"/>
      <c r="D34" s="10"/>
      <c r="E34" s="10"/>
      <c r="F34" s="10"/>
      <c r="G34" s="10"/>
      <c r="H34" s="10"/>
      <c r="I34" s="10"/>
      <c r="J34" s="10"/>
      <c r="K34" s="10"/>
      <c r="L34" s="22"/>
    </row>
    <row r="35" spans="2:19" x14ac:dyDescent="0.25">
      <c r="B35" s="18"/>
      <c r="C35" s="190" t="s">
        <v>18</v>
      </c>
      <c r="D35" s="190"/>
      <c r="E35" s="13"/>
      <c r="F35" s="13"/>
      <c r="G35" s="13"/>
      <c r="H35" s="13"/>
      <c r="I35" s="13"/>
      <c r="J35" s="13"/>
      <c r="K35" s="13"/>
      <c r="L35" s="19"/>
    </row>
    <row r="36" spans="2:19" ht="16.5" customHeight="1" x14ac:dyDescent="0.25">
      <c r="B36" s="18"/>
      <c r="C36" s="13"/>
      <c r="D36" s="171" t="s">
        <v>134</v>
      </c>
      <c r="E36" s="171"/>
      <c r="F36" s="171"/>
      <c r="G36" s="171"/>
      <c r="H36" s="171"/>
      <c r="I36" s="171"/>
      <c r="J36" s="171"/>
      <c r="K36" s="171"/>
      <c r="L36" s="19"/>
      <c r="N36" s="76"/>
      <c r="O36" s="76"/>
      <c r="P36" s="75"/>
      <c r="Q36" s="77"/>
      <c r="R36" s="77"/>
      <c r="S36" s="78"/>
    </row>
    <row r="37" spans="2:19" ht="16.5" customHeight="1" x14ac:dyDescent="0.25">
      <c r="B37" s="18"/>
      <c r="C37" s="13"/>
      <c r="D37" s="171"/>
      <c r="E37" s="171"/>
      <c r="F37" s="171"/>
      <c r="G37" s="171"/>
      <c r="H37" s="171"/>
      <c r="I37" s="171"/>
      <c r="J37" s="171"/>
      <c r="K37" s="171"/>
      <c r="L37" s="19"/>
      <c r="N37" s="76"/>
      <c r="O37" s="76"/>
      <c r="P37" s="75"/>
      <c r="Q37" s="77"/>
      <c r="R37" s="77"/>
      <c r="S37" s="78"/>
    </row>
    <row r="38" spans="2:19" ht="30.75" customHeight="1" x14ac:dyDescent="0.25">
      <c r="B38" s="18"/>
      <c r="C38" s="13"/>
      <c r="D38" s="171"/>
      <c r="E38" s="171"/>
      <c r="F38" s="171"/>
      <c r="G38" s="171"/>
      <c r="H38" s="171"/>
      <c r="I38" s="171"/>
      <c r="J38" s="171"/>
      <c r="K38" s="171"/>
      <c r="L38" s="19"/>
    </row>
    <row r="39" spans="2:19" x14ac:dyDescent="0.25">
      <c r="B39" s="18"/>
      <c r="C39" s="13"/>
      <c r="D39" s="13"/>
      <c r="E39" s="13"/>
      <c r="H39" s="13"/>
      <c r="I39" s="10"/>
      <c r="J39" s="10"/>
      <c r="L39" s="19"/>
    </row>
    <row r="40" spans="2:19" x14ac:dyDescent="0.25">
      <c r="B40" s="18"/>
      <c r="C40" s="43" t="s">
        <v>29</v>
      </c>
      <c r="D40" s="43"/>
      <c r="E40" s="43"/>
      <c r="H40" s="8"/>
      <c r="I40" s="8" t="s">
        <v>188</v>
      </c>
      <c r="J40" s="8"/>
      <c r="L40" s="19"/>
    </row>
    <row r="41" spans="2:19" x14ac:dyDescent="0.25">
      <c r="B41" s="18"/>
      <c r="C41" s="13" t="s">
        <v>186</v>
      </c>
      <c r="D41" s="13"/>
      <c r="E41" s="13" t="str">
        <f>IF(LEN(E7)&gt;0,E7,"")</f>
        <v/>
      </c>
      <c r="H41" s="13"/>
      <c r="I41" s="13" t="s">
        <v>187</v>
      </c>
      <c r="J41" s="13"/>
      <c r="L41" s="19"/>
    </row>
    <row r="42" spans="2:19" x14ac:dyDescent="0.25">
      <c r="B42" s="18"/>
      <c r="C42" s="13" t="s">
        <v>19</v>
      </c>
      <c r="D42" s="13"/>
      <c r="E42" s="13"/>
      <c r="F42" s="13"/>
      <c r="G42" s="13"/>
      <c r="H42" s="13"/>
      <c r="I42" s="13" t="s">
        <v>19</v>
      </c>
      <c r="J42" s="13"/>
      <c r="K42" s="13"/>
      <c r="L42" s="19"/>
    </row>
    <row r="43" spans="2:19" ht="32.25" customHeight="1" x14ac:dyDescent="0.25">
      <c r="B43" s="18"/>
      <c r="C43" s="13"/>
      <c r="D43" s="13"/>
      <c r="E43" s="13"/>
      <c r="F43" s="13"/>
      <c r="G43" s="13"/>
      <c r="H43" s="13"/>
      <c r="I43" s="13"/>
      <c r="J43" s="13"/>
      <c r="K43" s="13"/>
      <c r="L43" s="19"/>
    </row>
    <row r="44" spans="2:19" x14ac:dyDescent="0.25">
      <c r="B44" s="18"/>
      <c r="C44" s="13"/>
      <c r="D44" s="13"/>
      <c r="E44" s="13"/>
      <c r="F44" s="13"/>
      <c r="G44" s="13"/>
      <c r="H44" s="13"/>
      <c r="I44" s="10"/>
      <c r="J44" s="10"/>
      <c r="K44" s="13"/>
      <c r="L44" s="19"/>
    </row>
    <row r="45" spans="2:19" x14ac:dyDescent="0.25">
      <c r="B45" s="18"/>
      <c r="C45" s="43" t="s">
        <v>21</v>
      </c>
      <c r="D45" s="43"/>
      <c r="E45" s="43"/>
      <c r="F45" s="13"/>
      <c r="G45" s="13"/>
      <c r="H45" s="13"/>
      <c r="I45" s="8" t="s">
        <v>118</v>
      </c>
      <c r="J45" s="8"/>
      <c r="K45" s="8"/>
      <c r="L45" s="19"/>
    </row>
    <row r="46" spans="2:19" x14ac:dyDescent="0.25">
      <c r="B46" s="18"/>
      <c r="C46" s="13" t="s">
        <v>19</v>
      </c>
      <c r="D46" s="13"/>
      <c r="E46" s="13"/>
      <c r="F46" s="13"/>
      <c r="G46" s="13"/>
      <c r="H46" s="13"/>
      <c r="I46" s="139" t="s">
        <v>19</v>
      </c>
      <c r="J46" s="139"/>
      <c r="K46" s="139"/>
      <c r="L46" s="19"/>
    </row>
    <row r="47" spans="2:19" x14ac:dyDescent="0.25">
      <c r="B47" s="18"/>
      <c r="C47" s="13"/>
      <c r="D47" s="13"/>
      <c r="E47" s="13"/>
      <c r="F47" s="13"/>
      <c r="G47" s="13"/>
      <c r="H47" s="13"/>
      <c r="I47" s="13"/>
      <c r="J47" s="13"/>
      <c r="K47" s="13"/>
      <c r="L47" s="19"/>
    </row>
    <row r="48" spans="2:19" x14ac:dyDescent="0.25">
      <c r="B48" s="37"/>
      <c r="C48" s="41" t="s">
        <v>31</v>
      </c>
      <c r="D48" s="31"/>
      <c r="E48" s="31"/>
      <c r="F48" s="31"/>
      <c r="G48" s="31"/>
      <c r="H48" s="31"/>
      <c r="I48" s="31"/>
      <c r="J48" s="31"/>
      <c r="K48" s="31"/>
      <c r="L48" s="38"/>
    </row>
    <row r="49" spans="2:12" x14ac:dyDescent="0.25">
      <c r="B49" s="18"/>
      <c r="C49" s="12">
        <v>1</v>
      </c>
      <c r="D49" s="137" t="s">
        <v>60</v>
      </c>
      <c r="E49" s="137"/>
      <c r="F49" s="12" t="str">
        <f>IF(IFERROR(VLOOKUP("Foreign Hotel Costs",'Int Expense'!$B$5:$B$61,1,FALSE),"Not Required")="Not Required","Not Required","Required")</f>
        <v>Not Required</v>
      </c>
      <c r="G49" s="13"/>
      <c r="H49" s="13"/>
      <c r="I49" s="13"/>
      <c r="J49" s="13"/>
      <c r="K49" s="13"/>
      <c r="L49" s="19"/>
    </row>
    <row r="50" spans="2:12" x14ac:dyDescent="0.25">
      <c r="B50" s="18"/>
      <c r="C50" s="12">
        <v>2</v>
      </c>
      <c r="D50" s="137" t="s">
        <v>61</v>
      </c>
      <c r="E50" s="138"/>
      <c r="F50" s="12" t="str">
        <f>IF(IFERROR(VLOOKUP("Car / Taxi / Train Fare",'Int Expense'!$B$5:$B$61,1,FALSE),"Not Required")="Not Required","Not Required","Required")</f>
        <v>Not Required</v>
      </c>
      <c r="G50" s="13"/>
      <c r="H50" s="13"/>
      <c r="I50" s="13"/>
      <c r="J50" s="13"/>
      <c r="K50" s="13"/>
      <c r="L50" s="19"/>
    </row>
    <row r="51" spans="2:12" x14ac:dyDescent="0.25">
      <c r="B51" s="18"/>
      <c r="C51" s="12">
        <v>3</v>
      </c>
      <c r="D51" s="137" t="s">
        <v>135</v>
      </c>
      <c r="E51" s="137"/>
      <c r="F51" s="12" t="str">
        <f>IF(IFERROR(VLOOKUP("Travel Card",'Int Expense'!$H$5:$H$61,1,FALSE),"Not Required")="Not Required","Not Required","Required")</f>
        <v>Not Required</v>
      </c>
      <c r="G51" s="13"/>
      <c r="H51" s="13"/>
      <c r="I51" s="13"/>
      <c r="J51" s="13"/>
      <c r="K51" s="13"/>
      <c r="L51" s="19"/>
    </row>
    <row r="52" spans="2:12" x14ac:dyDescent="0.25">
      <c r="B52" s="18"/>
      <c r="C52" s="12">
        <v>4</v>
      </c>
      <c r="D52" s="137" t="s">
        <v>71</v>
      </c>
      <c r="E52" s="138"/>
      <c r="F52" s="12" t="str">
        <f>IF(IFERROR(VLOOKUP("Long Distance Calls",'Int Expense'!$B$5:$B$61,1,FALSE),"Not Required")="Not Required","Not Required","Required")</f>
        <v>Not Required</v>
      </c>
      <c r="G52" s="13"/>
      <c r="H52" s="13"/>
      <c r="I52" s="13"/>
      <c r="J52" s="13"/>
      <c r="K52" s="13"/>
      <c r="L52" s="19"/>
    </row>
    <row r="53" spans="2:12" x14ac:dyDescent="0.25">
      <c r="B53" s="18"/>
      <c r="C53" s="12">
        <v>5</v>
      </c>
      <c r="D53" s="137" t="s">
        <v>72</v>
      </c>
      <c r="E53" s="138"/>
      <c r="F53" s="12" t="str">
        <f>IF(IFERROR(VLOOKUP("Miscellaneous",'Int Expense'!$B$5:$B$61,1,FALSE),"Not Required")="Not Required","Not Required","Required")</f>
        <v>Not Required</v>
      </c>
      <c r="G53" s="13"/>
      <c r="H53" s="13"/>
      <c r="I53" s="13"/>
      <c r="J53" s="13"/>
      <c r="K53" s="13"/>
      <c r="L53" s="19"/>
    </row>
    <row r="54" spans="2:12" x14ac:dyDescent="0.25">
      <c r="B54" s="18"/>
      <c r="C54" s="13"/>
      <c r="D54" s="139"/>
      <c r="E54" s="143"/>
      <c r="F54" s="13"/>
      <c r="G54" s="13"/>
      <c r="H54" s="13"/>
      <c r="I54" s="13"/>
      <c r="J54" s="13"/>
      <c r="K54" s="13"/>
      <c r="L54" s="19"/>
    </row>
    <row r="55" spans="2:12" x14ac:dyDescent="0.25">
      <c r="B55" s="18"/>
      <c r="C55" s="13"/>
      <c r="D55" s="139"/>
      <c r="E55" s="139"/>
      <c r="F55" s="13"/>
      <c r="G55" s="13"/>
      <c r="H55" s="13"/>
      <c r="I55" s="13"/>
      <c r="J55" s="13"/>
      <c r="K55" s="13"/>
      <c r="L55" s="19"/>
    </row>
    <row r="56" spans="2:12" x14ac:dyDescent="0.25">
      <c r="B56" s="18"/>
      <c r="C56" s="13"/>
      <c r="D56" s="13"/>
      <c r="E56" s="13"/>
      <c r="F56" s="13"/>
      <c r="G56" s="13"/>
      <c r="H56" s="13"/>
      <c r="I56" s="13"/>
      <c r="J56" s="13"/>
      <c r="K56" s="13"/>
      <c r="L56" s="19"/>
    </row>
    <row r="57" spans="2:12" x14ac:dyDescent="0.25">
      <c r="B57" s="18"/>
      <c r="C57" s="5" t="s">
        <v>22</v>
      </c>
      <c r="D57" s="13"/>
      <c r="E57" s="13"/>
      <c r="F57" s="13"/>
      <c r="G57" s="13"/>
      <c r="H57" s="13"/>
      <c r="I57" s="13"/>
      <c r="J57" s="13"/>
      <c r="K57" s="13"/>
      <c r="L57" s="19"/>
    </row>
    <row r="58" spans="2:12" x14ac:dyDescent="0.25">
      <c r="B58" s="18"/>
      <c r="C58" s="80">
        <v>1</v>
      </c>
      <c r="D58" s="142" t="s">
        <v>144</v>
      </c>
      <c r="E58" s="142"/>
      <c r="F58" s="142"/>
      <c r="G58" s="142"/>
      <c r="H58" s="142"/>
      <c r="I58" s="142"/>
      <c r="J58" s="142"/>
      <c r="K58" s="142"/>
      <c r="L58" s="19"/>
    </row>
    <row r="59" spans="2:12" ht="15" customHeight="1" x14ac:dyDescent="0.25">
      <c r="B59" s="18"/>
      <c r="C59" s="80">
        <v>2</v>
      </c>
      <c r="D59" s="144" t="s">
        <v>145</v>
      </c>
      <c r="E59" s="142"/>
      <c r="F59" s="142"/>
      <c r="G59" s="142"/>
      <c r="H59" s="142"/>
      <c r="I59" s="142"/>
      <c r="J59" s="142"/>
      <c r="K59" s="142"/>
      <c r="L59" s="19"/>
    </row>
    <row r="60" spans="2:12" ht="15" customHeight="1" x14ac:dyDescent="0.25">
      <c r="B60" s="18"/>
      <c r="C60" s="80">
        <v>3</v>
      </c>
      <c r="D60" s="142" t="s">
        <v>146</v>
      </c>
      <c r="E60" s="142"/>
      <c r="F60" s="142"/>
      <c r="G60" s="142"/>
      <c r="H60" s="142"/>
      <c r="I60" s="142"/>
      <c r="J60" s="142"/>
      <c r="K60" s="142"/>
      <c r="L60" s="19"/>
    </row>
    <row r="61" spans="2:12" ht="21.75" customHeight="1" x14ac:dyDescent="0.25">
      <c r="B61" s="18"/>
      <c r="C61" s="80">
        <v>4</v>
      </c>
      <c r="D61" s="136" t="s">
        <v>175</v>
      </c>
      <c r="E61" s="136"/>
      <c r="F61" s="136"/>
      <c r="G61" s="136"/>
      <c r="H61" s="136"/>
      <c r="I61" s="136"/>
      <c r="J61" s="136"/>
      <c r="K61" s="136"/>
      <c r="L61" s="19"/>
    </row>
    <row r="62" spans="2:12" ht="24.75" customHeight="1" x14ac:dyDescent="0.25">
      <c r="B62" s="18"/>
      <c r="C62" s="13"/>
      <c r="D62" s="63"/>
      <c r="E62" s="63"/>
      <c r="F62" s="63"/>
      <c r="G62" s="63"/>
      <c r="H62" s="63"/>
      <c r="I62" s="63"/>
      <c r="J62" s="63"/>
      <c r="K62" s="63"/>
      <c r="L62" s="19"/>
    </row>
    <row r="63" spans="2:12" x14ac:dyDescent="0.25">
      <c r="B63" s="18"/>
      <c r="C63" s="13"/>
      <c r="D63" s="63"/>
      <c r="E63" s="63"/>
      <c r="F63" s="63"/>
      <c r="G63" s="63"/>
      <c r="H63" s="63"/>
      <c r="I63" s="63"/>
      <c r="J63" s="63"/>
      <c r="K63" s="63"/>
      <c r="L63" s="19"/>
    </row>
    <row r="64" spans="2:12" x14ac:dyDescent="0.25">
      <c r="B64" s="18"/>
      <c r="C64" s="13"/>
      <c r="D64" s="63"/>
      <c r="E64" s="63"/>
      <c r="F64" s="63"/>
      <c r="G64" s="63"/>
      <c r="H64" s="63"/>
      <c r="I64" s="63"/>
      <c r="J64" s="63"/>
      <c r="K64" s="63"/>
      <c r="L64" s="19"/>
    </row>
    <row r="65" spans="2:12" ht="9" customHeight="1" thickBot="1" x14ac:dyDescent="0.3">
      <c r="B65" s="28"/>
      <c r="C65" s="46" t="s">
        <v>23</v>
      </c>
      <c r="D65" s="45"/>
      <c r="E65" s="45"/>
      <c r="F65" s="45"/>
      <c r="G65" s="45"/>
      <c r="H65" s="44"/>
      <c r="I65" s="44"/>
      <c r="J65" s="44"/>
      <c r="K65" s="44"/>
      <c r="L65" s="30"/>
    </row>
    <row r="66" spans="2:12" hidden="1" x14ac:dyDescent="0.25">
      <c r="B66" s="15"/>
      <c r="C66" s="62"/>
      <c r="D66" s="62"/>
      <c r="E66" s="62"/>
      <c r="F66" s="62"/>
      <c r="G66" s="62"/>
      <c r="H66" s="62"/>
      <c r="I66" s="62"/>
      <c r="J66" s="62"/>
      <c r="K66" s="62"/>
      <c r="L66" s="17"/>
    </row>
    <row r="67" spans="2:12" hidden="1" x14ac:dyDescent="0.25">
      <c r="B67" s="18"/>
      <c r="C67" s="147" t="s">
        <v>89</v>
      </c>
      <c r="D67" s="147"/>
      <c r="E67" s="147"/>
      <c r="F67" s="147"/>
      <c r="G67" s="147"/>
      <c r="H67" s="147"/>
      <c r="I67" s="147"/>
      <c r="J67" s="147"/>
      <c r="K67" s="147"/>
      <c r="L67" s="19"/>
    </row>
    <row r="68" spans="2:12" ht="15" hidden="1" customHeight="1" x14ac:dyDescent="0.25">
      <c r="B68" s="18"/>
      <c r="C68" s="149" t="s">
        <v>77</v>
      </c>
      <c r="D68" s="149"/>
      <c r="E68" s="149"/>
      <c r="F68" s="149"/>
      <c r="G68" s="149"/>
      <c r="H68" s="149"/>
      <c r="I68" s="149"/>
      <c r="J68" s="2"/>
      <c r="K68" s="2"/>
      <c r="L68" s="19"/>
    </row>
    <row r="69" spans="2:12" ht="8.25" hidden="1" customHeight="1" x14ac:dyDescent="0.25">
      <c r="B69" s="18"/>
      <c r="C69" s="121"/>
      <c r="D69" s="122"/>
      <c r="E69" s="122"/>
      <c r="F69" s="122"/>
      <c r="G69" s="122"/>
      <c r="H69" s="122"/>
      <c r="I69" s="122"/>
      <c r="J69" s="123"/>
      <c r="K69" s="123"/>
      <c r="L69" s="124"/>
    </row>
    <row r="70" spans="2:12" ht="5.25" hidden="1" customHeight="1" x14ac:dyDescent="0.25">
      <c r="B70" s="91"/>
      <c r="C70" s="150"/>
      <c r="D70" s="150"/>
      <c r="E70" s="150"/>
      <c r="F70" s="150"/>
      <c r="G70" s="150"/>
      <c r="H70" s="122"/>
      <c r="I70" s="122"/>
      <c r="J70" s="123"/>
      <c r="K70" s="123"/>
      <c r="L70" s="124"/>
    </row>
    <row r="71" spans="2:12" ht="8.25" hidden="1" customHeight="1" x14ac:dyDescent="0.25">
      <c r="B71" s="18"/>
      <c r="C71" s="123"/>
      <c r="D71" s="125"/>
      <c r="E71" s="125"/>
      <c r="F71" s="125"/>
      <c r="G71" s="125"/>
      <c r="H71" s="125"/>
      <c r="I71" s="125"/>
      <c r="J71" s="123"/>
      <c r="K71" s="123"/>
      <c r="L71" s="124"/>
    </row>
    <row r="72" spans="2:12" hidden="1" x14ac:dyDescent="0.25">
      <c r="B72" s="18"/>
      <c r="C72" s="2"/>
      <c r="D72" s="6" t="s">
        <v>12</v>
      </c>
      <c r="E72" s="151" t="s">
        <v>13</v>
      </c>
      <c r="F72" s="152"/>
      <c r="G72" s="153"/>
      <c r="H72" s="145" t="s">
        <v>14</v>
      </c>
      <c r="I72" s="146"/>
      <c r="J72" s="6" t="s">
        <v>9</v>
      </c>
      <c r="K72" s="2"/>
      <c r="L72" s="19"/>
    </row>
    <row r="73" spans="2:12" hidden="1" x14ac:dyDescent="0.25">
      <c r="B73" s="18"/>
      <c r="C73" s="2"/>
      <c r="D73" s="52">
        <v>1</v>
      </c>
      <c r="E73" s="140" t="s">
        <v>15</v>
      </c>
      <c r="F73" s="148"/>
      <c r="G73" s="141"/>
      <c r="H73" s="140"/>
      <c r="I73" s="141"/>
      <c r="J73" s="87"/>
      <c r="K73" s="2"/>
      <c r="L73" s="19"/>
    </row>
    <row r="74" spans="2:12" hidden="1" x14ac:dyDescent="0.25">
      <c r="B74" s="18"/>
      <c r="C74" s="2"/>
      <c r="D74" s="52">
        <v>2</v>
      </c>
      <c r="E74" s="140" t="s">
        <v>16</v>
      </c>
      <c r="F74" s="148"/>
      <c r="G74" s="141"/>
      <c r="H74" s="140"/>
      <c r="I74" s="141"/>
      <c r="J74" s="87"/>
      <c r="K74" s="2"/>
      <c r="L74" s="19"/>
    </row>
    <row r="75" spans="2:12" hidden="1" x14ac:dyDescent="0.25">
      <c r="B75" s="18"/>
      <c r="C75" s="2"/>
      <c r="D75" s="52">
        <v>3</v>
      </c>
      <c r="E75" s="140" t="s">
        <v>17</v>
      </c>
      <c r="F75" s="148"/>
      <c r="G75" s="141"/>
      <c r="H75" s="140"/>
      <c r="I75" s="141"/>
      <c r="J75" s="87"/>
      <c r="K75" s="2"/>
      <c r="L75" s="19"/>
    </row>
    <row r="76" spans="2:12" ht="15.75" hidden="1" thickBot="1" x14ac:dyDescent="0.3">
      <c r="B76" s="18"/>
      <c r="C76" s="2"/>
      <c r="D76" s="92" t="s">
        <v>183</v>
      </c>
      <c r="E76" s="13"/>
      <c r="F76" s="13"/>
      <c r="G76" s="13"/>
      <c r="H76" s="13"/>
      <c r="I76" s="13"/>
      <c r="J76" s="2"/>
      <c r="K76" s="2"/>
      <c r="L76" s="19"/>
    </row>
    <row r="77" spans="2:12" ht="15.75" hidden="1" thickBot="1" x14ac:dyDescent="0.3">
      <c r="B77" s="18"/>
      <c r="C77" s="13"/>
      <c r="D77" s="139" t="s">
        <v>84</v>
      </c>
      <c r="E77" s="139"/>
      <c r="F77" s="178" t="str">
        <f>IF(LEN(I14)&gt;0,I14,"")</f>
        <v/>
      </c>
      <c r="G77" s="179"/>
      <c r="H77" s="179"/>
      <c r="I77" s="180"/>
      <c r="J77" s="13"/>
      <c r="K77" s="13"/>
      <c r="L77" s="19"/>
    </row>
    <row r="78" spans="2:12" ht="15.75" hidden="1" thickBot="1" x14ac:dyDescent="0.3">
      <c r="B78" s="18"/>
      <c r="C78" s="13"/>
      <c r="D78" s="139" t="s">
        <v>30</v>
      </c>
      <c r="E78" s="139"/>
      <c r="F78" s="181" t="str">
        <f>IF(LEN(E14)&gt;0,E14,"")</f>
        <v/>
      </c>
      <c r="G78" s="182"/>
      <c r="H78" s="182"/>
      <c r="I78" s="183"/>
      <c r="J78" s="13"/>
      <c r="K78" s="13"/>
      <c r="L78" s="19"/>
    </row>
    <row r="79" spans="2:12" ht="15.75" hidden="1" thickBot="1" x14ac:dyDescent="0.3">
      <c r="B79" s="18"/>
      <c r="D79" s="139" t="s">
        <v>176</v>
      </c>
      <c r="E79" s="139"/>
      <c r="F79" s="175"/>
      <c r="G79" s="176"/>
      <c r="H79" s="176"/>
      <c r="I79" s="177"/>
      <c r="K79" s="13"/>
      <c r="L79" s="19"/>
    </row>
    <row r="80" spans="2:12" ht="15.75" hidden="1" thickBot="1" x14ac:dyDescent="0.3">
      <c r="B80" s="18"/>
      <c r="D80" s="139" t="s">
        <v>14</v>
      </c>
      <c r="E80" s="139"/>
      <c r="F80" s="175"/>
      <c r="G80" s="176"/>
      <c r="H80" s="176"/>
      <c r="I80" s="177"/>
      <c r="K80" s="13"/>
      <c r="L80" s="19"/>
    </row>
    <row r="81" spans="2:12" hidden="1" x14ac:dyDescent="0.25">
      <c r="B81" s="18"/>
      <c r="K81" s="13"/>
      <c r="L81" s="19"/>
    </row>
    <row r="82" spans="2:12" x14ac:dyDescent="0.25">
      <c r="B82" s="18"/>
      <c r="K82" s="2"/>
      <c r="L82" s="19"/>
    </row>
    <row r="83" spans="2:12" ht="39" hidden="1" customHeight="1" x14ac:dyDescent="0.25">
      <c r="B83" s="18"/>
      <c r="K83" s="2"/>
      <c r="L83" s="19"/>
    </row>
    <row r="84" spans="2:12" ht="15" hidden="1" customHeight="1" x14ac:dyDescent="0.25">
      <c r="B84" s="18"/>
      <c r="K84" s="2"/>
      <c r="L84" s="19"/>
    </row>
    <row r="85" spans="2:12" ht="15" hidden="1" customHeight="1" x14ac:dyDescent="0.25">
      <c r="B85" s="18"/>
      <c r="K85" s="2"/>
      <c r="L85" s="19"/>
    </row>
    <row r="86" spans="2:12" hidden="1" x14ac:dyDescent="0.25">
      <c r="B86" s="18"/>
      <c r="K86" s="2"/>
      <c r="L86" s="19"/>
    </row>
    <row r="87" spans="2:12" hidden="1" x14ac:dyDescent="0.25">
      <c r="B87" s="18"/>
      <c r="K87" s="2"/>
      <c r="L87" s="19"/>
    </row>
    <row r="88" spans="2:12" hidden="1" x14ac:dyDescent="0.25">
      <c r="B88" s="18"/>
      <c r="K88" s="2"/>
      <c r="L88" s="19"/>
    </row>
    <row r="89" spans="2:12" hidden="1" x14ac:dyDescent="0.25">
      <c r="B89" s="18"/>
      <c r="K89" s="2"/>
      <c r="L89" s="19"/>
    </row>
    <row r="90" spans="2:12" hidden="1" x14ac:dyDescent="0.25">
      <c r="B90" s="18"/>
      <c r="K90" s="2"/>
      <c r="L90" s="19"/>
    </row>
    <row r="91" spans="2:12" hidden="1" x14ac:dyDescent="0.25">
      <c r="B91" s="18"/>
      <c r="K91" s="2"/>
      <c r="L91" s="19"/>
    </row>
    <row r="92" spans="2:12" hidden="1" x14ac:dyDescent="0.25">
      <c r="B92" s="18"/>
      <c r="K92" s="2"/>
      <c r="L92" s="19"/>
    </row>
    <row r="93" spans="2:12" hidden="1" x14ac:dyDescent="0.25">
      <c r="B93" s="18"/>
      <c r="K93" s="2"/>
      <c r="L93" s="19"/>
    </row>
    <row r="94" spans="2:12" hidden="1" x14ac:dyDescent="0.25">
      <c r="B94" s="18"/>
      <c r="K94" s="2"/>
      <c r="L94" s="19"/>
    </row>
    <row r="95" spans="2:12" hidden="1" x14ac:dyDescent="0.25">
      <c r="B95" s="18"/>
      <c r="K95" s="2"/>
      <c r="L95" s="19"/>
    </row>
    <row r="96" spans="2:12" hidden="1" x14ac:dyDescent="0.25">
      <c r="B96" s="18"/>
      <c r="K96" s="2"/>
      <c r="L96" s="19"/>
    </row>
    <row r="97" spans="2:12" hidden="1" x14ac:dyDescent="0.25">
      <c r="B97" s="18"/>
      <c r="K97" s="2"/>
      <c r="L97" s="19"/>
    </row>
    <row r="98" spans="2:12" hidden="1" x14ac:dyDescent="0.25">
      <c r="B98" s="18"/>
      <c r="K98" s="2"/>
      <c r="L98" s="19"/>
    </row>
    <row r="99" spans="2:12" hidden="1" x14ac:dyDescent="0.25">
      <c r="B99" s="18"/>
      <c r="K99" s="2"/>
      <c r="L99" s="19"/>
    </row>
    <row r="100" spans="2:12" hidden="1" x14ac:dyDescent="0.25">
      <c r="B100" s="18"/>
      <c r="K100" s="2"/>
      <c r="L100" s="19"/>
    </row>
    <row r="101" spans="2:12" hidden="1" x14ac:dyDescent="0.25">
      <c r="B101" s="18"/>
      <c r="K101" s="2"/>
      <c r="L101" s="19"/>
    </row>
    <row r="102" spans="2:12" hidden="1" x14ac:dyDescent="0.25">
      <c r="B102" s="18"/>
      <c r="K102" s="2"/>
      <c r="L102" s="19"/>
    </row>
    <row r="103" spans="2:12" hidden="1" x14ac:dyDescent="0.25">
      <c r="B103" s="18"/>
      <c r="K103" s="2"/>
      <c r="L103" s="19"/>
    </row>
    <row r="104" spans="2:12" hidden="1" x14ac:dyDescent="0.25">
      <c r="B104" s="18"/>
      <c r="K104" s="2"/>
      <c r="L104" s="19"/>
    </row>
    <row r="105" spans="2:12" hidden="1" x14ac:dyDescent="0.25">
      <c r="B105" s="18"/>
      <c r="K105" s="2"/>
      <c r="L105" s="19"/>
    </row>
    <row r="106" spans="2:12" hidden="1" x14ac:dyDescent="0.25">
      <c r="B106" s="18"/>
      <c r="K106" s="2"/>
      <c r="L106" s="19"/>
    </row>
    <row r="107" spans="2:12" hidden="1" x14ac:dyDescent="0.25">
      <c r="B107" s="18"/>
      <c r="K107" s="2"/>
      <c r="L107" s="19"/>
    </row>
    <row r="108" spans="2:12" hidden="1" x14ac:dyDescent="0.25">
      <c r="B108" s="18"/>
      <c r="K108" s="2"/>
      <c r="L108" s="19"/>
    </row>
    <row r="109" spans="2:12" hidden="1" x14ac:dyDescent="0.25">
      <c r="B109" s="18"/>
      <c r="K109" s="2"/>
      <c r="L109" s="19"/>
    </row>
    <row r="110" spans="2:12" hidden="1" x14ac:dyDescent="0.25">
      <c r="B110" s="18"/>
      <c r="K110" s="2"/>
      <c r="L110" s="19"/>
    </row>
    <row r="111" spans="2:12" hidden="1" x14ac:dyDescent="0.25">
      <c r="B111" s="18"/>
      <c r="K111" s="2"/>
      <c r="L111" s="19"/>
    </row>
    <row r="112" spans="2:12" hidden="1" x14ac:dyDescent="0.25">
      <c r="B112" s="18"/>
      <c r="K112" s="2"/>
      <c r="L112" s="19"/>
    </row>
    <row r="113" spans="2:12" hidden="1" x14ac:dyDescent="0.25">
      <c r="B113" s="18"/>
      <c r="K113" s="2"/>
      <c r="L113" s="19"/>
    </row>
    <row r="114" spans="2:12" hidden="1" x14ac:dyDescent="0.25">
      <c r="B114" s="18"/>
      <c r="K114" s="2"/>
      <c r="L114" s="19"/>
    </row>
    <row r="115" spans="2:12" hidden="1" x14ac:dyDescent="0.25">
      <c r="B115" s="18"/>
      <c r="K115" s="2"/>
      <c r="L115" s="19"/>
    </row>
    <row r="116" spans="2:12" hidden="1" x14ac:dyDescent="0.25">
      <c r="B116" s="18"/>
      <c r="K116" s="2"/>
      <c r="L116" s="19"/>
    </row>
    <row r="117" spans="2:12" hidden="1" x14ac:dyDescent="0.25">
      <c r="B117" s="18"/>
      <c r="K117" s="2"/>
      <c r="L117" s="19"/>
    </row>
    <row r="118" spans="2:12" hidden="1" x14ac:dyDescent="0.25">
      <c r="B118" s="18"/>
      <c r="K118" s="2"/>
      <c r="L118" s="19"/>
    </row>
    <row r="119" spans="2:12" hidden="1" x14ac:dyDescent="0.25">
      <c r="B119" s="18"/>
      <c r="K119" s="2"/>
      <c r="L119" s="19"/>
    </row>
    <row r="120" spans="2:12" hidden="1" x14ac:dyDescent="0.25">
      <c r="B120" s="18"/>
      <c r="K120" s="2"/>
      <c r="L120" s="19"/>
    </row>
    <row r="121" spans="2:12" hidden="1" x14ac:dyDescent="0.25">
      <c r="B121" s="18"/>
      <c r="K121" s="2"/>
      <c r="L121" s="19"/>
    </row>
    <row r="122" spans="2:12" hidden="1" x14ac:dyDescent="0.25">
      <c r="B122" s="18"/>
      <c r="K122" s="2"/>
      <c r="L122" s="19"/>
    </row>
    <row r="123" spans="2:12" hidden="1" x14ac:dyDescent="0.25">
      <c r="B123" s="18"/>
      <c r="K123" s="2"/>
      <c r="L123" s="19"/>
    </row>
    <row r="124" spans="2:12" hidden="1" x14ac:dyDescent="0.25">
      <c r="B124" s="18"/>
      <c r="K124" s="2"/>
      <c r="L124" s="19"/>
    </row>
    <row r="125" spans="2:12" hidden="1" x14ac:dyDescent="0.25">
      <c r="B125" s="18"/>
      <c r="K125" s="2"/>
      <c r="L125" s="19"/>
    </row>
    <row r="126" spans="2:12" hidden="1" x14ac:dyDescent="0.25">
      <c r="B126" s="18"/>
      <c r="K126" s="2"/>
      <c r="L126" s="19"/>
    </row>
    <row r="127" spans="2:12" hidden="1" x14ac:dyDescent="0.25">
      <c r="B127" s="18"/>
      <c r="K127" s="2"/>
      <c r="L127" s="19"/>
    </row>
    <row r="128" spans="2:12" hidden="1" x14ac:dyDescent="0.25">
      <c r="B128" s="18"/>
      <c r="K128" s="2"/>
      <c r="L128" s="19"/>
    </row>
    <row r="129" spans="2:12" hidden="1" x14ac:dyDescent="0.25">
      <c r="B129" s="18"/>
      <c r="K129" s="2"/>
      <c r="L129" s="19"/>
    </row>
    <row r="130" spans="2:12" hidden="1" x14ac:dyDescent="0.25">
      <c r="B130" s="18"/>
      <c r="K130" s="2"/>
      <c r="L130" s="19"/>
    </row>
    <row r="131" spans="2:12" hidden="1" x14ac:dyDescent="0.25">
      <c r="B131" s="18"/>
      <c r="K131" s="2"/>
      <c r="L131" s="19"/>
    </row>
    <row r="132" spans="2:12" hidden="1" x14ac:dyDescent="0.25">
      <c r="B132" s="18"/>
      <c r="K132" s="2"/>
      <c r="L132" s="19"/>
    </row>
    <row r="133" spans="2:12" hidden="1" x14ac:dyDescent="0.25">
      <c r="B133" s="18"/>
      <c r="K133" s="2"/>
      <c r="L133" s="19"/>
    </row>
    <row r="134" spans="2:12" hidden="1" x14ac:dyDescent="0.25">
      <c r="B134" s="18"/>
      <c r="K134" s="2"/>
      <c r="L134" s="19"/>
    </row>
    <row r="135" spans="2:12" hidden="1" x14ac:dyDescent="0.25">
      <c r="B135" s="18"/>
      <c r="K135" s="2"/>
      <c r="L135" s="19"/>
    </row>
    <row r="136" spans="2:12" hidden="1" x14ac:dyDescent="0.25">
      <c r="B136" s="18"/>
      <c r="K136" s="2"/>
      <c r="L136" s="19"/>
    </row>
    <row r="137" spans="2:12" hidden="1" x14ac:dyDescent="0.25">
      <c r="B137" s="18"/>
      <c r="K137" s="2"/>
      <c r="L137" s="19"/>
    </row>
    <row r="138" spans="2:12" hidden="1" x14ac:dyDescent="0.25">
      <c r="B138" s="18"/>
      <c r="K138" s="2"/>
      <c r="L138" s="19"/>
    </row>
    <row r="139" spans="2:12" hidden="1" x14ac:dyDescent="0.25">
      <c r="B139" s="18"/>
      <c r="K139" s="2"/>
      <c r="L139" s="19"/>
    </row>
    <row r="140" spans="2:12" hidden="1" x14ac:dyDescent="0.25">
      <c r="B140" s="18"/>
      <c r="K140" s="2"/>
      <c r="L140" s="19"/>
    </row>
    <row r="141" spans="2:12" hidden="1" x14ac:dyDescent="0.25">
      <c r="B141" s="18"/>
      <c r="K141" s="2"/>
      <c r="L141" s="19"/>
    </row>
    <row r="142" spans="2:12" hidden="1" x14ac:dyDescent="0.25">
      <c r="B142" s="18"/>
      <c r="K142" s="58" t="s">
        <v>59</v>
      </c>
      <c r="L142" s="19"/>
    </row>
    <row r="143" spans="2:12" ht="15" hidden="1" customHeight="1" x14ac:dyDescent="0.25">
      <c r="B143" s="18"/>
      <c r="K143" s="88"/>
      <c r="L143" s="19"/>
    </row>
    <row r="144" spans="2:12" hidden="1" x14ac:dyDescent="0.25">
      <c r="B144" s="18"/>
      <c r="K144" s="2"/>
      <c r="L144" s="19"/>
    </row>
    <row r="145" spans="2:12" x14ac:dyDescent="0.25">
      <c r="B145" s="18"/>
      <c r="K145" s="2"/>
      <c r="L145" s="19"/>
    </row>
    <row r="146" spans="2:12" hidden="1" x14ac:dyDescent="0.25">
      <c r="B146" s="18"/>
      <c r="K146" s="58" t="s">
        <v>59</v>
      </c>
      <c r="L146" s="19"/>
    </row>
    <row r="147" spans="2:12" ht="15" hidden="1" customHeight="1" x14ac:dyDescent="0.25">
      <c r="B147" s="18"/>
      <c r="K147" s="126"/>
      <c r="L147" s="19"/>
    </row>
    <row r="148" spans="2:12" ht="24.75" hidden="1" customHeight="1" x14ac:dyDescent="0.25">
      <c r="B148" s="18"/>
      <c r="K148" s="126"/>
      <c r="L148" s="19"/>
    </row>
    <row r="149" spans="2:12" ht="15" hidden="1" customHeight="1" x14ac:dyDescent="0.25">
      <c r="B149" s="18"/>
      <c r="K149" s="126"/>
      <c r="L149" s="19"/>
    </row>
    <row r="150" spans="2:12" hidden="1" x14ac:dyDescent="0.25">
      <c r="B150" s="18"/>
      <c r="K150" s="126"/>
      <c r="L150" s="19"/>
    </row>
    <row r="151" spans="2:12" hidden="1" x14ac:dyDescent="0.25">
      <c r="B151" s="18"/>
      <c r="K151" s="126"/>
      <c r="L151" s="19"/>
    </row>
    <row r="152" spans="2:12" hidden="1" x14ac:dyDescent="0.25">
      <c r="B152" s="18"/>
      <c r="K152" s="2"/>
      <c r="L152" s="19"/>
    </row>
    <row r="153" spans="2:12" hidden="1" x14ac:dyDescent="0.25">
      <c r="B153" s="18"/>
      <c r="K153" s="2"/>
      <c r="L153" s="19"/>
    </row>
    <row r="154" spans="2:12" hidden="1" x14ac:dyDescent="0.25">
      <c r="B154" s="18"/>
      <c r="K154" s="2"/>
      <c r="L154" s="19"/>
    </row>
    <row r="155" spans="2:12" hidden="1" x14ac:dyDescent="0.25">
      <c r="B155" s="18"/>
      <c r="K155" s="2"/>
      <c r="L155" s="19"/>
    </row>
    <row r="156" spans="2:12" hidden="1" x14ac:dyDescent="0.25">
      <c r="B156" s="18"/>
      <c r="K156" s="2"/>
      <c r="L156" s="19"/>
    </row>
    <row r="157" spans="2:12" hidden="1" x14ac:dyDescent="0.25">
      <c r="B157" s="18"/>
      <c r="K157" s="2"/>
      <c r="L157" s="19"/>
    </row>
    <row r="158" spans="2:12" hidden="1" x14ac:dyDescent="0.25">
      <c r="B158" s="18"/>
      <c r="K158" s="2"/>
      <c r="L158" s="19"/>
    </row>
    <row r="159" spans="2:12" hidden="1" x14ac:dyDescent="0.25">
      <c r="B159" s="18"/>
      <c r="K159" s="2"/>
      <c r="L159" s="19"/>
    </row>
    <row r="160" spans="2:12" hidden="1" x14ac:dyDescent="0.25">
      <c r="B160" s="18"/>
      <c r="K160" s="2"/>
      <c r="L160" s="19"/>
    </row>
    <row r="161" spans="2:12" hidden="1" x14ac:dyDescent="0.25">
      <c r="B161" s="18"/>
      <c r="K161" s="2"/>
      <c r="L161" s="19"/>
    </row>
    <row r="162" spans="2:12" hidden="1" x14ac:dyDescent="0.25">
      <c r="B162" s="18"/>
      <c r="K162" s="2"/>
      <c r="L162" s="19"/>
    </row>
    <row r="163" spans="2:12" hidden="1" x14ac:dyDescent="0.25">
      <c r="B163" s="18"/>
      <c r="K163" s="2"/>
      <c r="L163" s="19"/>
    </row>
    <row r="164" spans="2:12" hidden="1" x14ac:dyDescent="0.25">
      <c r="B164" s="18"/>
      <c r="K164" s="2"/>
      <c r="L164" s="19"/>
    </row>
    <row r="165" spans="2:12" hidden="1" x14ac:dyDescent="0.25">
      <c r="B165" s="18"/>
      <c r="K165" s="2"/>
      <c r="L165" s="19"/>
    </row>
    <row r="166" spans="2:12" hidden="1" x14ac:dyDescent="0.25">
      <c r="B166" s="18"/>
      <c r="K166" s="2"/>
      <c r="L166" s="19"/>
    </row>
    <row r="167" spans="2:12" hidden="1" x14ac:dyDescent="0.25">
      <c r="B167" s="18"/>
      <c r="K167" s="2"/>
      <c r="L167" s="19"/>
    </row>
    <row r="168" spans="2:12" hidden="1" x14ac:dyDescent="0.25">
      <c r="B168" s="18"/>
      <c r="K168" s="2"/>
      <c r="L168" s="19"/>
    </row>
    <row r="169" spans="2:12" hidden="1" x14ac:dyDescent="0.25">
      <c r="B169" s="18"/>
      <c r="K169" s="2"/>
      <c r="L169" s="19"/>
    </row>
    <row r="170" spans="2:12" hidden="1" x14ac:dyDescent="0.25">
      <c r="B170" s="18"/>
      <c r="K170" s="2"/>
      <c r="L170" s="19"/>
    </row>
    <row r="171" spans="2:12" hidden="1" x14ac:dyDescent="0.25">
      <c r="B171" s="18"/>
      <c r="K171" s="2"/>
      <c r="L171" s="19"/>
    </row>
    <row r="172" spans="2:12" hidden="1" x14ac:dyDescent="0.25">
      <c r="B172" s="18"/>
      <c r="K172" s="2"/>
      <c r="L172" s="19"/>
    </row>
    <row r="173" spans="2:12" hidden="1" x14ac:dyDescent="0.25">
      <c r="B173" s="18"/>
      <c r="K173" s="2"/>
      <c r="L173" s="19"/>
    </row>
    <row r="174" spans="2:12" hidden="1" x14ac:dyDescent="0.25">
      <c r="B174" s="18"/>
      <c r="K174" s="2"/>
      <c r="L174" s="19"/>
    </row>
    <row r="175" spans="2:12" hidden="1" x14ac:dyDescent="0.25">
      <c r="B175" s="18"/>
      <c r="K175" s="2"/>
      <c r="L175" s="19"/>
    </row>
    <row r="176" spans="2:12" hidden="1" x14ac:dyDescent="0.25">
      <c r="B176" s="18"/>
      <c r="K176" s="2"/>
      <c r="L176" s="19"/>
    </row>
    <row r="177" spans="2:12" hidden="1" x14ac:dyDescent="0.25">
      <c r="B177" s="18"/>
      <c r="K177" s="2"/>
      <c r="L177" s="19"/>
    </row>
    <row r="178" spans="2:12" hidden="1" x14ac:dyDescent="0.25">
      <c r="B178" s="18"/>
      <c r="K178" s="2"/>
      <c r="L178" s="19"/>
    </row>
    <row r="179" spans="2:12" hidden="1" x14ac:dyDescent="0.25">
      <c r="B179" s="18"/>
      <c r="K179" s="2"/>
      <c r="L179" s="19"/>
    </row>
    <row r="180" spans="2:12" hidden="1" x14ac:dyDescent="0.25">
      <c r="B180" s="18"/>
      <c r="K180" s="2"/>
      <c r="L180" s="19"/>
    </row>
    <row r="181" spans="2:12" hidden="1" x14ac:dyDescent="0.25">
      <c r="B181" s="18"/>
      <c r="K181" s="2"/>
      <c r="L181" s="19"/>
    </row>
    <row r="182" spans="2:12" hidden="1" x14ac:dyDescent="0.25">
      <c r="B182" s="18"/>
      <c r="K182" s="2"/>
      <c r="L182" s="19"/>
    </row>
    <row r="183" spans="2:12" hidden="1" x14ac:dyDescent="0.25">
      <c r="B183" s="18"/>
      <c r="K183" s="2"/>
      <c r="L183" s="19"/>
    </row>
    <row r="184" spans="2:12" hidden="1" x14ac:dyDescent="0.25">
      <c r="B184" s="18"/>
      <c r="K184" s="2"/>
      <c r="L184" s="19"/>
    </row>
    <row r="185" spans="2:12" hidden="1" x14ac:dyDescent="0.25">
      <c r="B185" s="18"/>
      <c r="K185" s="2"/>
      <c r="L185" s="19"/>
    </row>
    <row r="186" spans="2:12" hidden="1" x14ac:dyDescent="0.25">
      <c r="B186" s="18"/>
      <c r="K186" s="2"/>
      <c r="L186" s="19"/>
    </row>
    <row r="187" spans="2:12" hidden="1" x14ac:dyDescent="0.25">
      <c r="B187" s="18"/>
      <c r="K187" s="2"/>
      <c r="L187" s="19"/>
    </row>
    <row r="188" spans="2:12" hidden="1" x14ac:dyDescent="0.25">
      <c r="B188" s="18"/>
      <c r="K188" s="2"/>
      <c r="L188" s="19"/>
    </row>
    <row r="189" spans="2:12" hidden="1" x14ac:dyDescent="0.25">
      <c r="B189" s="18"/>
      <c r="K189" s="2"/>
      <c r="L189" s="19"/>
    </row>
    <row r="190" spans="2:12" hidden="1" x14ac:dyDescent="0.25">
      <c r="B190" s="18"/>
      <c r="K190" s="2"/>
      <c r="L190" s="19"/>
    </row>
    <row r="191" spans="2:12" hidden="1" x14ac:dyDescent="0.25">
      <c r="B191" s="18"/>
      <c r="K191" s="2"/>
      <c r="L191" s="19"/>
    </row>
    <row r="192" spans="2:12" hidden="1" x14ac:dyDescent="0.25">
      <c r="B192" s="18"/>
      <c r="K192" s="2"/>
      <c r="L192" s="19"/>
    </row>
    <row r="193" spans="2:12" hidden="1" x14ac:dyDescent="0.25">
      <c r="B193" s="18"/>
      <c r="K193" s="2"/>
      <c r="L193" s="19"/>
    </row>
    <row r="194" spans="2:12" hidden="1" x14ac:dyDescent="0.25">
      <c r="B194" s="18"/>
      <c r="K194" s="2"/>
      <c r="L194" s="19"/>
    </row>
    <row r="195" spans="2:12" hidden="1" x14ac:dyDescent="0.25">
      <c r="B195" s="18"/>
      <c r="K195" s="2"/>
      <c r="L195" s="19"/>
    </row>
    <row r="196" spans="2:12" hidden="1" x14ac:dyDescent="0.25">
      <c r="B196" s="18"/>
      <c r="K196" s="2"/>
      <c r="L196" s="19"/>
    </row>
    <row r="197" spans="2:12" hidden="1" x14ac:dyDescent="0.25">
      <c r="B197" s="18"/>
      <c r="K197" s="2"/>
      <c r="L197" s="19"/>
    </row>
    <row r="198" spans="2:12" hidden="1" x14ac:dyDescent="0.25">
      <c r="B198" s="18"/>
      <c r="K198" s="2"/>
      <c r="L198" s="19"/>
    </row>
    <row r="199" spans="2:12" hidden="1" x14ac:dyDescent="0.25">
      <c r="B199" s="18"/>
      <c r="K199" s="2"/>
      <c r="L199" s="19"/>
    </row>
    <row r="200" spans="2:12" hidden="1" x14ac:dyDescent="0.25">
      <c r="B200" s="18"/>
      <c r="K200" s="2"/>
      <c r="L200" s="19"/>
    </row>
    <row r="201" spans="2:12" hidden="1" x14ac:dyDescent="0.25">
      <c r="B201" s="18"/>
      <c r="K201" s="2"/>
      <c r="L201" s="19"/>
    </row>
    <row r="202" spans="2:12" hidden="1" x14ac:dyDescent="0.25">
      <c r="B202" s="18"/>
      <c r="K202" s="2"/>
      <c r="L202" s="19"/>
    </row>
    <row r="203" spans="2:12" hidden="1" x14ac:dyDescent="0.25">
      <c r="B203" s="18"/>
      <c r="K203" s="2"/>
      <c r="L203" s="19"/>
    </row>
    <row r="204" spans="2:12" hidden="1" x14ac:dyDescent="0.25">
      <c r="B204" s="18"/>
      <c r="K204" s="2"/>
      <c r="L204" s="19"/>
    </row>
    <row r="205" spans="2:12" hidden="1" x14ac:dyDescent="0.25">
      <c r="B205" s="18"/>
      <c r="K205" s="2"/>
      <c r="L205" s="19"/>
    </row>
    <row r="206" spans="2:12" hidden="1" x14ac:dyDescent="0.25">
      <c r="B206" s="18"/>
      <c r="K206" s="2"/>
      <c r="L206" s="19"/>
    </row>
    <row r="207" spans="2:12" hidden="1" x14ac:dyDescent="0.25">
      <c r="B207" s="18"/>
      <c r="K207" s="2"/>
      <c r="L207" s="19"/>
    </row>
    <row r="208" spans="2:12" ht="15.75" thickBot="1" x14ac:dyDescent="0.3">
      <c r="B208" s="28"/>
      <c r="C208" s="46" t="s">
        <v>23</v>
      </c>
      <c r="D208" s="29"/>
      <c r="E208" s="29"/>
      <c r="F208" s="29"/>
      <c r="G208" s="29"/>
      <c r="H208" s="29"/>
      <c r="I208" s="29"/>
      <c r="J208" s="29"/>
      <c r="K208" s="29"/>
      <c r="L208" s="30"/>
    </row>
  </sheetData>
  <sheetProtection algorithmName="SHA-512" hashValue="6yH6wVmj4UcbwfSEJvTxoKYPK3ZAXM2P0GfLU+JbV/4lblx+NyjGgA9skleXWNfZ8btMntKNPL/4vZaF4IcicA==" saltValue="3PcGW041QhhKioBbAutnXg==" spinCount="100000" sheet="1" scenarios="1" selectLockedCells="1"/>
  <mergeCells count="64">
    <mergeCell ref="H21:I21"/>
    <mergeCell ref="E14:F14"/>
    <mergeCell ref="C17:K17"/>
    <mergeCell ref="I14:K14"/>
    <mergeCell ref="C35:D35"/>
    <mergeCell ref="C19:G19"/>
    <mergeCell ref="D22:G22"/>
    <mergeCell ref="C24:G24"/>
    <mergeCell ref="H22:I22"/>
    <mergeCell ref="H26:I26"/>
    <mergeCell ref="H27:I27"/>
    <mergeCell ref="H30:I30"/>
    <mergeCell ref="D31:G31"/>
    <mergeCell ref="D27:G27"/>
    <mergeCell ref="D33:G33"/>
    <mergeCell ref="H31:I31"/>
    <mergeCell ref="D80:E80"/>
    <mergeCell ref="F80:I80"/>
    <mergeCell ref="D79:E79"/>
    <mergeCell ref="F77:I77"/>
    <mergeCell ref="F78:I78"/>
    <mergeCell ref="F79:I79"/>
    <mergeCell ref="D77:E77"/>
    <mergeCell ref="D78:E78"/>
    <mergeCell ref="H32:I32"/>
    <mergeCell ref="H33:I33"/>
    <mergeCell ref="D49:E49"/>
    <mergeCell ref="D50:E50"/>
    <mergeCell ref="D36:K38"/>
    <mergeCell ref="D32:G32"/>
    <mergeCell ref="I46:K46"/>
    <mergeCell ref="I7:J7"/>
    <mergeCell ref="I8:J8"/>
    <mergeCell ref="C3:J3"/>
    <mergeCell ref="K2:L3"/>
    <mergeCell ref="C14:D14"/>
    <mergeCell ref="C7:D7"/>
    <mergeCell ref="C8:D8"/>
    <mergeCell ref="C9:D9"/>
    <mergeCell ref="E7:F7"/>
    <mergeCell ref="E8:F8"/>
    <mergeCell ref="E10:F11"/>
    <mergeCell ref="E9:F9"/>
    <mergeCell ref="C10:D11"/>
    <mergeCell ref="H75:I75"/>
    <mergeCell ref="H72:I72"/>
    <mergeCell ref="C67:K67"/>
    <mergeCell ref="E75:G75"/>
    <mergeCell ref="C68:I68"/>
    <mergeCell ref="C70:G70"/>
    <mergeCell ref="E73:G73"/>
    <mergeCell ref="E74:G74"/>
    <mergeCell ref="H73:I73"/>
    <mergeCell ref="E72:G72"/>
    <mergeCell ref="D61:K61"/>
    <mergeCell ref="D51:E51"/>
    <mergeCell ref="D52:E52"/>
    <mergeCell ref="D55:E55"/>
    <mergeCell ref="H74:I74"/>
    <mergeCell ref="D60:K60"/>
    <mergeCell ref="D54:E54"/>
    <mergeCell ref="D59:K59"/>
    <mergeCell ref="D53:E53"/>
    <mergeCell ref="D58:K58"/>
  </mergeCells>
  <dataValidations count="5">
    <dataValidation type="list" allowBlank="1" showInputMessage="1" showErrorMessage="1" sqref="E14:F16">
      <formula1>Banks</formula1>
    </dataValidation>
    <dataValidation type="list" allowBlank="1" showInputMessage="1" showErrorMessage="1" sqref="F80:I80 H73:H75 H27:H29 H22 G23 F143 F84:F89 F147:F151">
      <formula1>CURRENCY</formula1>
    </dataValidation>
    <dataValidation type="list" allowBlank="1" showInputMessage="1" showErrorMessage="1" sqref="E73:E75">
      <formula1>Mode_Of_Recovery</formula1>
    </dataValidation>
    <dataValidation errorStyle="warning" operator="lessThanOrEqual" allowBlank="1" showInputMessage="1" showErrorMessage="1" errorTitle="Invalid Date" error="The entered date is in the future or is not in the dd/mm/yyyy format" sqref="E84:E89 E143 E147:E151"/>
    <dataValidation type="list" allowBlank="1" showInputMessage="1" showErrorMessage="1" sqref="I143 I147:I151">
      <formula1>Payment_Type</formula1>
    </dataValidation>
  </dataValidations>
  <pageMargins left="0.7" right="0.7" top="0.75" bottom="0.75" header="0.3" footer="0.3"/>
  <pageSetup paperSize="9" scale="74" fitToHeight="3" orientation="portrait" r:id="rId1"/>
  <headerFooter>
    <oddFooter>&amp;LRESTRICTED</oddFooter>
    <evenFooter>&amp;LRESTRICTED</evenFooter>
    <firstFooter>&amp;LRESTRICTED</firstFooter>
  </headerFooter>
  <drawing r:id="rId2"/>
  <legacyDrawing r:id="rId3"/>
  <controls>
    <mc:AlternateContent xmlns:mc="http://schemas.openxmlformats.org/markup-compatibility/2006">
      <mc:Choice Requires="x14">
        <control shapeId="1044" r:id="rId4" name="OptionButton1">
          <controlPr defaultSize="0" autoLine="0" r:id="rId5">
            <anchor moveWithCells="1">
              <from>
                <xdr:col>7</xdr:col>
                <xdr:colOff>361950</xdr:colOff>
                <xdr:row>18</xdr:row>
                <xdr:rowOff>9525</xdr:rowOff>
              </from>
              <to>
                <xdr:col>7</xdr:col>
                <xdr:colOff>828675</xdr:colOff>
                <xdr:row>19</xdr:row>
                <xdr:rowOff>9525</xdr:rowOff>
              </to>
            </anchor>
          </controlPr>
        </control>
      </mc:Choice>
      <mc:Fallback>
        <control shapeId="1044" r:id="rId4" name="OptionButton1"/>
      </mc:Fallback>
    </mc:AlternateContent>
    <mc:AlternateContent xmlns:mc="http://schemas.openxmlformats.org/markup-compatibility/2006">
      <mc:Choice Requires="x14">
        <control shapeId="1045" r:id="rId6" name="OptionButton2">
          <controlPr defaultSize="0" autoLine="0" r:id="rId7">
            <anchor moveWithCells="1">
              <from>
                <xdr:col>8</xdr:col>
                <xdr:colOff>76200</xdr:colOff>
                <xdr:row>18</xdr:row>
                <xdr:rowOff>9525</xdr:rowOff>
              </from>
              <to>
                <xdr:col>8</xdr:col>
                <xdr:colOff>542925</xdr:colOff>
                <xdr:row>19</xdr:row>
                <xdr:rowOff>9525</xdr:rowOff>
              </to>
            </anchor>
          </controlPr>
        </control>
      </mc:Choice>
      <mc:Fallback>
        <control shapeId="1045" r:id="rId6" name="OptionButton2"/>
      </mc:Fallback>
    </mc:AlternateContent>
    <mc:AlternateContent xmlns:mc="http://schemas.openxmlformats.org/markup-compatibility/2006">
      <mc:Choice Requires="x14">
        <control shapeId="1046" r:id="rId8" name="OptionButton3">
          <controlPr defaultSize="0" autoLine="0" r:id="rId9">
            <anchor moveWithCells="1">
              <from>
                <xdr:col>7</xdr:col>
                <xdr:colOff>371475</xdr:colOff>
                <xdr:row>23</xdr:row>
                <xdr:rowOff>9525</xdr:rowOff>
              </from>
              <to>
                <xdr:col>7</xdr:col>
                <xdr:colOff>838200</xdr:colOff>
                <xdr:row>24</xdr:row>
                <xdr:rowOff>9525</xdr:rowOff>
              </to>
            </anchor>
          </controlPr>
        </control>
      </mc:Choice>
      <mc:Fallback>
        <control shapeId="1046" r:id="rId8" name="OptionButton3"/>
      </mc:Fallback>
    </mc:AlternateContent>
    <mc:AlternateContent xmlns:mc="http://schemas.openxmlformats.org/markup-compatibility/2006">
      <mc:Choice Requires="x14">
        <control shapeId="1047" r:id="rId10" name="OptionButton4">
          <controlPr defaultSize="0" autoLine="0" r:id="rId11">
            <anchor moveWithCells="1">
              <from>
                <xdr:col>8</xdr:col>
                <xdr:colOff>85725</xdr:colOff>
                <xdr:row>23</xdr:row>
                <xdr:rowOff>0</xdr:rowOff>
              </from>
              <to>
                <xdr:col>8</xdr:col>
                <xdr:colOff>552450</xdr:colOff>
                <xdr:row>24</xdr:row>
                <xdr:rowOff>0</xdr:rowOff>
              </to>
            </anchor>
          </controlPr>
        </control>
      </mc:Choice>
      <mc:Fallback>
        <control shapeId="1047" r:id="rId10" name="OptionButton4"/>
      </mc:Fallback>
    </mc:AlternateContent>
    <mc:AlternateContent xmlns:mc="http://schemas.openxmlformats.org/markup-compatibility/2006">
      <mc:Choice Requires="x14">
        <control shapeId="1054" r:id="rId12" name="Button 30">
          <controlPr defaultSize="0" print="0" autoFill="0" autoPict="0" macro="[0]!GoTo_IntAdvance">
            <anchor moveWithCells="1" sizeWithCells="1">
              <from>
                <xdr:col>13</xdr:col>
                <xdr:colOff>457200</xdr:colOff>
                <xdr:row>17</xdr:row>
                <xdr:rowOff>114300</xdr:rowOff>
              </from>
              <to>
                <xdr:col>15</xdr:col>
                <xdr:colOff>257175</xdr:colOff>
                <xdr:row>19</xdr:row>
                <xdr:rowOff>47625</xdr:rowOff>
              </to>
            </anchor>
          </controlPr>
        </control>
      </mc:Choice>
    </mc:AlternateContent>
    <mc:AlternateContent xmlns:mc="http://schemas.openxmlformats.org/markup-compatibility/2006">
      <mc:Choice Requires="x14">
        <control shapeId="1055" r:id="rId13" name="Button 31">
          <controlPr defaultSize="0" print="0" autoFill="0" autoPict="0" macro="[0]!GoTo_IntExpense">
            <anchor moveWithCells="1" sizeWithCells="1">
              <from>
                <xdr:col>13</xdr:col>
                <xdr:colOff>466725</xdr:colOff>
                <xdr:row>24</xdr:row>
                <xdr:rowOff>142875</xdr:rowOff>
              </from>
              <to>
                <xdr:col>15</xdr:col>
                <xdr:colOff>266700</xdr:colOff>
                <xdr:row>26</xdr:row>
                <xdr:rowOff>76200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References!$F$1:$F$3</xm:f>
          </x14:formula1>
          <xm:sqref>C84:C89</xm:sqref>
        </x14:dataValidation>
        <x14:dataValidation type="list" allowBlank="1" showInputMessage="1" showErrorMessage="1">
          <x14:formula1>
            <xm:f>References!$H$1:$H$51</xm:f>
          </x14:formula1>
          <xm:sqref>J143 J147:J151</xm:sqref>
        </x14:dataValidation>
        <x14:dataValidation type="list" allowBlank="1" showInputMessage="1" showErrorMessage="1">
          <x14:formula1>
            <xm:f>References!$P$1:$P$3</xm:f>
          </x14:formula1>
          <xm:sqref>E9:F9</xm:sqref>
        </x14:dataValidation>
        <x14:dataValidation type="list" allowBlank="1" showInputMessage="1" showErrorMessage="1">
          <x14:formula1>
            <xm:f>References!$G$1:$G$7</xm:f>
          </x14:formula1>
          <xm:sqref>C143 C147:C151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4:G61"/>
  <sheetViews>
    <sheetView showGridLines="0" showRowColHeaders="0" zoomScale="120" zoomScaleNormal="120" workbookViewId="0">
      <selection activeCell="B6" sqref="B6:G7"/>
    </sheetView>
  </sheetViews>
  <sheetFormatPr defaultRowHeight="15" x14ac:dyDescent="0.25"/>
  <cols>
    <col min="1" max="1" width="4.140625" customWidth="1"/>
    <col min="2" max="2" width="11.7109375" customWidth="1"/>
    <col min="3" max="3" width="11.85546875" customWidth="1"/>
    <col min="4" max="4" width="17.7109375" customWidth="1"/>
    <col min="5" max="5" width="15.28515625" customWidth="1"/>
  </cols>
  <sheetData>
    <row r="4" spans="2:7" ht="18.75" x14ac:dyDescent="0.3">
      <c r="B4" s="204" t="s">
        <v>66</v>
      </c>
      <c r="C4" s="204"/>
      <c r="D4" s="204"/>
      <c r="E4" s="204"/>
      <c r="F4" s="204"/>
      <c r="G4" s="204"/>
    </row>
    <row r="5" spans="2:7" ht="24.75" customHeight="1" x14ac:dyDescent="0.25">
      <c r="B5" s="205" t="s">
        <v>65</v>
      </c>
      <c r="C5" s="205"/>
      <c r="D5" s="94" t="s">
        <v>115</v>
      </c>
      <c r="E5" s="205" t="s">
        <v>14</v>
      </c>
      <c r="F5" s="205"/>
      <c r="G5" s="61" t="s">
        <v>9</v>
      </c>
    </row>
    <row r="6" spans="2:7" ht="15" customHeight="1" x14ac:dyDescent="0.25">
      <c r="B6" s="201"/>
      <c r="C6" s="202"/>
      <c r="D6" s="95"/>
      <c r="E6" s="206"/>
      <c r="F6" s="203"/>
      <c r="G6" s="88">
        <v>0</v>
      </c>
    </row>
    <row r="7" spans="2:7" x14ac:dyDescent="0.25">
      <c r="B7" s="201"/>
      <c r="C7" s="202"/>
      <c r="D7" s="95"/>
      <c r="E7" s="206"/>
      <c r="F7" s="203"/>
      <c r="G7" s="88"/>
    </row>
    <row r="8" spans="2:7" ht="15" customHeight="1" x14ac:dyDescent="0.25">
      <c r="B8" s="201"/>
      <c r="C8" s="201"/>
      <c r="D8" s="95"/>
      <c r="E8" s="202"/>
      <c r="F8" s="203"/>
      <c r="G8" s="88"/>
    </row>
    <row r="9" spans="2:7" ht="15" customHeight="1" x14ac:dyDescent="0.25">
      <c r="B9" s="201"/>
      <c r="C9" s="201"/>
      <c r="D9" s="95"/>
      <c r="E9" s="202"/>
      <c r="F9" s="203"/>
      <c r="G9" s="88"/>
    </row>
    <row r="10" spans="2:7" ht="15" customHeight="1" x14ac:dyDescent="0.25">
      <c r="B10" s="201"/>
      <c r="C10" s="201"/>
      <c r="D10" s="95"/>
      <c r="E10" s="202"/>
      <c r="F10" s="203"/>
      <c r="G10" s="88"/>
    </row>
    <row r="11" spans="2:7" ht="15" customHeight="1" x14ac:dyDescent="0.25">
      <c r="B11" s="201"/>
      <c r="C11" s="201"/>
      <c r="D11" s="95"/>
      <c r="E11" s="202"/>
      <c r="F11" s="203"/>
      <c r="G11" s="88"/>
    </row>
    <row r="12" spans="2:7" ht="15" customHeight="1" x14ac:dyDescent="0.25">
      <c r="B12" s="202"/>
      <c r="C12" s="203"/>
      <c r="D12" s="95"/>
      <c r="E12" s="201"/>
      <c r="F12" s="201"/>
      <c r="G12" s="88"/>
    </row>
    <row r="13" spans="2:7" ht="15" customHeight="1" x14ac:dyDescent="0.25">
      <c r="B13" s="202"/>
      <c r="C13" s="203"/>
      <c r="D13" s="95"/>
      <c r="E13" s="201"/>
      <c r="F13" s="201"/>
      <c r="G13" s="88"/>
    </row>
    <row r="14" spans="2:7" ht="15" customHeight="1" x14ac:dyDescent="0.25">
      <c r="B14" s="202"/>
      <c r="C14" s="203"/>
      <c r="D14" s="95"/>
      <c r="E14" s="201"/>
      <c r="F14" s="201"/>
      <c r="G14" s="88"/>
    </row>
    <row r="15" spans="2:7" ht="15" customHeight="1" x14ac:dyDescent="0.25">
      <c r="B15" s="202"/>
      <c r="C15" s="203"/>
      <c r="D15" s="95"/>
      <c r="E15" s="201"/>
      <c r="F15" s="201"/>
      <c r="G15" s="88"/>
    </row>
    <row r="16" spans="2:7" ht="15" customHeight="1" x14ac:dyDescent="0.25">
      <c r="B16" s="202"/>
      <c r="C16" s="203"/>
      <c r="D16" s="95"/>
      <c r="E16" s="201"/>
      <c r="F16" s="201"/>
      <c r="G16" s="88"/>
    </row>
    <row r="17" spans="2:7" ht="15" customHeight="1" x14ac:dyDescent="0.25">
      <c r="B17" s="202"/>
      <c r="C17" s="203"/>
      <c r="D17" s="95"/>
      <c r="E17" s="201"/>
      <c r="F17" s="201"/>
      <c r="G17" s="88"/>
    </row>
    <row r="18" spans="2:7" ht="15" customHeight="1" x14ac:dyDescent="0.25">
      <c r="B18" s="202"/>
      <c r="C18" s="203"/>
      <c r="D18" s="95"/>
      <c r="E18" s="201"/>
      <c r="F18" s="201"/>
      <c r="G18" s="88"/>
    </row>
    <row r="19" spans="2:7" ht="15" customHeight="1" x14ac:dyDescent="0.25">
      <c r="B19" s="202"/>
      <c r="C19" s="203"/>
      <c r="D19" s="95"/>
      <c r="E19" s="201"/>
      <c r="F19" s="201"/>
      <c r="G19" s="88"/>
    </row>
    <row r="20" spans="2:7" ht="15" customHeight="1" x14ac:dyDescent="0.25">
      <c r="B20" s="202"/>
      <c r="C20" s="203"/>
      <c r="D20" s="95"/>
      <c r="E20" s="201"/>
      <c r="F20" s="201"/>
      <c r="G20" s="88"/>
    </row>
    <row r="21" spans="2:7" ht="15" customHeight="1" x14ac:dyDescent="0.25">
      <c r="B21" s="202"/>
      <c r="C21" s="203"/>
      <c r="D21" s="95"/>
      <c r="E21" s="201"/>
      <c r="F21" s="201"/>
      <c r="G21" s="88"/>
    </row>
    <row r="22" spans="2:7" ht="15" customHeight="1" x14ac:dyDescent="0.25">
      <c r="B22" s="202"/>
      <c r="C22" s="203"/>
      <c r="D22" s="95"/>
      <c r="E22" s="201"/>
      <c r="F22" s="201"/>
      <c r="G22" s="88"/>
    </row>
    <row r="23" spans="2:7" ht="15" customHeight="1" x14ac:dyDescent="0.25">
      <c r="B23" s="202"/>
      <c r="C23" s="203"/>
      <c r="D23" s="95"/>
      <c r="E23" s="201"/>
      <c r="F23" s="201"/>
      <c r="G23" s="88"/>
    </row>
    <row r="24" spans="2:7" ht="15" customHeight="1" x14ac:dyDescent="0.25">
      <c r="B24" s="202"/>
      <c r="C24" s="203"/>
      <c r="D24" s="95"/>
      <c r="E24" s="201"/>
      <c r="F24" s="201"/>
      <c r="G24" s="88"/>
    </row>
    <row r="25" spans="2:7" ht="15" customHeight="1" x14ac:dyDescent="0.25">
      <c r="B25" s="202"/>
      <c r="C25" s="203"/>
      <c r="D25" s="95"/>
      <c r="E25" s="201"/>
      <c r="F25" s="201"/>
      <c r="G25" s="88"/>
    </row>
    <row r="26" spans="2:7" ht="15" customHeight="1" x14ac:dyDescent="0.25">
      <c r="B26" s="202"/>
      <c r="C26" s="203"/>
      <c r="D26" s="95"/>
      <c r="E26" s="201"/>
      <c r="F26" s="201"/>
      <c r="G26" s="88"/>
    </row>
    <row r="27" spans="2:7" ht="15" customHeight="1" x14ac:dyDescent="0.25">
      <c r="B27" s="202"/>
      <c r="C27" s="203"/>
      <c r="D27" s="95"/>
      <c r="E27" s="201"/>
      <c r="F27" s="201"/>
      <c r="G27" s="88"/>
    </row>
    <row r="28" spans="2:7" ht="15" customHeight="1" x14ac:dyDescent="0.25">
      <c r="B28" s="202"/>
      <c r="C28" s="203"/>
      <c r="D28" s="95"/>
      <c r="E28" s="201"/>
      <c r="F28" s="201"/>
      <c r="G28" s="88"/>
    </row>
    <row r="29" spans="2:7" ht="15" customHeight="1" x14ac:dyDescent="0.25">
      <c r="B29" s="202"/>
      <c r="C29" s="203"/>
      <c r="D29" s="95"/>
      <c r="E29" s="201"/>
      <c r="F29" s="201"/>
      <c r="G29" s="88"/>
    </row>
    <row r="30" spans="2:7" ht="15" customHeight="1" x14ac:dyDescent="0.25">
      <c r="B30" s="202"/>
      <c r="C30" s="203"/>
      <c r="D30" s="95"/>
      <c r="E30" s="201"/>
      <c r="F30" s="201"/>
      <c r="G30" s="88"/>
    </row>
    <row r="31" spans="2:7" ht="15" customHeight="1" x14ac:dyDescent="0.25">
      <c r="B31" s="202"/>
      <c r="C31" s="203"/>
      <c r="D31" s="95"/>
      <c r="E31" s="201"/>
      <c r="F31" s="201"/>
      <c r="G31" s="88"/>
    </row>
    <row r="32" spans="2:7" ht="15" customHeight="1" x14ac:dyDescent="0.25">
      <c r="B32" s="202"/>
      <c r="C32" s="203"/>
      <c r="D32" s="95"/>
      <c r="E32" s="201"/>
      <c r="F32" s="201"/>
      <c r="G32" s="88"/>
    </row>
    <row r="33" spans="2:7" ht="15" customHeight="1" x14ac:dyDescent="0.25">
      <c r="B33" s="202"/>
      <c r="C33" s="203"/>
      <c r="D33" s="95"/>
      <c r="E33" s="201"/>
      <c r="F33" s="201"/>
      <c r="G33" s="88"/>
    </row>
    <row r="34" spans="2:7" ht="15" customHeight="1" x14ac:dyDescent="0.25">
      <c r="B34" s="202"/>
      <c r="C34" s="203"/>
      <c r="D34" s="95"/>
      <c r="E34" s="201"/>
      <c r="F34" s="201"/>
      <c r="G34" s="88"/>
    </row>
    <row r="35" spans="2:7" ht="15" customHeight="1" x14ac:dyDescent="0.25">
      <c r="B35" s="202"/>
      <c r="C35" s="203"/>
      <c r="D35" s="95"/>
      <c r="E35" s="201"/>
      <c r="F35" s="201"/>
      <c r="G35" s="88"/>
    </row>
    <row r="36" spans="2:7" ht="15" customHeight="1" x14ac:dyDescent="0.25">
      <c r="B36" s="202"/>
      <c r="C36" s="203"/>
      <c r="D36" s="95"/>
      <c r="E36" s="201"/>
      <c r="F36" s="201"/>
      <c r="G36" s="88"/>
    </row>
    <row r="37" spans="2:7" ht="15" customHeight="1" x14ac:dyDescent="0.25">
      <c r="B37" s="202"/>
      <c r="C37" s="203"/>
      <c r="D37" s="95"/>
      <c r="E37" s="201"/>
      <c r="F37" s="201"/>
      <c r="G37" s="88"/>
    </row>
    <row r="38" spans="2:7" ht="15" customHeight="1" x14ac:dyDescent="0.25">
      <c r="B38" s="202"/>
      <c r="C38" s="203"/>
      <c r="D38" s="95"/>
      <c r="E38" s="201"/>
      <c r="F38" s="201"/>
      <c r="G38" s="88"/>
    </row>
    <row r="39" spans="2:7" ht="15" customHeight="1" x14ac:dyDescent="0.25">
      <c r="B39" s="202"/>
      <c r="C39" s="203"/>
      <c r="D39" s="95"/>
      <c r="E39" s="201"/>
      <c r="F39" s="201"/>
      <c r="G39" s="88"/>
    </row>
    <row r="40" spans="2:7" ht="15" customHeight="1" x14ac:dyDescent="0.25">
      <c r="B40" s="202"/>
      <c r="C40" s="203"/>
      <c r="D40" s="95"/>
      <c r="E40" s="201"/>
      <c r="F40" s="201"/>
      <c r="G40" s="88"/>
    </row>
    <row r="41" spans="2:7" ht="15" customHeight="1" x14ac:dyDescent="0.25">
      <c r="B41" s="202"/>
      <c r="C41" s="203"/>
      <c r="D41" s="95"/>
      <c r="E41" s="201"/>
      <c r="F41" s="201"/>
      <c r="G41" s="88"/>
    </row>
    <row r="42" spans="2:7" ht="15" customHeight="1" x14ac:dyDescent="0.25">
      <c r="B42" s="202"/>
      <c r="C42" s="203"/>
      <c r="D42" s="95"/>
      <c r="E42" s="201"/>
      <c r="F42" s="201"/>
      <c r="G42" s="88"/>
    </row>
    <row r="43" spans="2:7" ht="15" customHeight="1" x14ac:dyDescent="0.25">
      <c r="B43" s="202"/>
      <c r="C43" s="203"/>
      <c r="D43" s="95"/>
      <c r="E43" s="201"/>
      <c r="F43" s="201"/>
      <c r="G43" s="88"/>
    </row>
    <row r="44" spans="2:7" ht="15" customHeight="1" x14ac:dyDescent="0.25">
      <c r="B44" s="202"/>
      <c r="C44" s="203"/>
      <c r="D44" s="95"/>
      <c r="E44" s="201"/>
      <c r="F44" s="201"/>
      <c r="G44" s="88"/>
    </row>
    <row r="45" spans="2:7" ht="15" customHeight="1" x14ac:dyDescent="0.25">
      <c r="B45" s="202"/>
      <c r="C45" s="203"/>
      <c r="D45" s="95"/>
      <c r="E45" s="201"/>
      <c r="F45" s="201"/>
      <c r="G45" s="88"/>
    </row>
    <row r="46" spans="2:7" ht="15" customHeight="1" x14ac:dyDescent="0.25">
      <c r="B46" s="202"/>
      <c r="C46" s="203"/>
      <c r="D46" s="95"/>
      <c r="E46" s="201"/>
      <c r="F46" s="201"/>
      <c r="G46" s="88"/>
    </row>
    <row r="47" spans="2:7" ht="15" customHeight="1" x14ac:dyDescent="0.25">
      <c r="B47" s="202"/>
      <c r="C47" s="203"/>
      <c r="D47" s="95"/>
      <c r="E47" s="201"/>
      <c r="F47" s="201"/>
      <c r="G47" s="88"/>
    </row>
    <row r="48" spans="2:7" ht="15" customHeight="1" x14ac:dyDescent="0.25">
      <c r="B48" s="202"/>
      <c r="C48" s="203"/>
      <c r="D48" s="95"/>
      <c r="E48" s="201"/>
      <c r="F48" s="201"/>
      <c r="G48" s="88"/>
    </row>
    <row r="49" spans="2:7" ht="15" customHeight="1" x14ac:dyDescent="0.25">
      <c r="B49" s="202"/>
      <c r="C49" s="203"/>
      <c r="D49" s="95"/>
      <c r="E49" s="201"/>
      <c r="F49" s="201"/>
      <c r="G49" s="88"/>
    </row>
    <row r="50" spans="2:7" ht="15" customHeight="1" x14ac:dyDescent="0.25">
      <c r="B50" s="202"/>
      <c r="C50" s="203"/>
      <c r="D50" s="95"/>
      <c r="E50" s="201"/>
      <c r="F50" s="201"/>
      <c r="G50" s="88"/>
    </row>
    <row r="51" spans="2:7" ht="15" customHeight="1" x14ac:dyDescent="0.25">
      <c r="B51" s="202"/>
      <c r="C51" s="203"/>
      <c r="D51" s="95"/>
      <c r="E51" s="201"/>
      <c r="F51" s="201"/>
      <c r="G51" s="88"/>
    </row>
    <row r="52" spans="2:7" ht="15" customHeight="1" x14ac:dyDescent="0.25">
      <c r="B52" s="202"/>
      <c r="C52" s="203"/>
      <c r="D52" s="95"/>
      <c r="E52" s="201"/>
      <c r="F52" s="201"/>
      <c r="G52" s="88"/>
    </row>
    <row r="53" spans="2:7" ht="15" customHeight="1" x14ac:dyDescent="0.25">
      <c r="B53" s="202"/>
      <c r="C53" s="203"/>
      <c r="D53" s="95"/>
      <c r="E53" s="201"/>
      <c r="F53" s="201"/>
      <c r="G53" s="88"/>
    </row>
    <row r="54" spans="2:7" ht="15" customHeight="1" x14ac:dyDescent="0.25">
      <c r="B54" s="202"/>
      <c r="C54" s="203"/>
      <c r="D54" s="95"/>
      <c r="E54" s="201"/>
      <c r="F54" s="201"/>
      <c r="G54" s="88"/>
    </row>
    <row r="55" spans="2:7" ht="15" customHeight="1" x14ac:dyDescent="0.25">
      <c r="B55" s="202"/>
      <c r="C55" s="203"/>
      <c r="D55" s="95"/>
      <c r="E55" s="201"/>
      <c r="F55" s="201"/>
      <c r="G55" s="88"/>
    </row>
    <row r="56" spans="2:7" ht="15" customHeight="1" x14ac:dyDescent="0.25">
      <c r="B56" s="202"/>
      <c r="C56" s="203"/>
      <c r="D56" s="95"/>
      <c r="E56" s="201"/>
      <c r="F56" s="201"/>
      <c r="G56" s="88"/>
    </row>
    <row r="57" spans="2:7" ht="15" customHeight="1" x14ac:dyDescent="0.25">
      <c r="B57" s="202"/>
      <c r="C57" s="203"/>
      <c r="D57" s="95"/>
      <c r="E57" s="201"/>
      <c r="F57" s="201"/>
      <c r="G57" s="88"/>
    </row>
    <row r="58" spans="2:7" ht="15" customHeight="1" x14ac:dyDescent="0.25">
      <c r="B58" s="202"/>
      <c r="C58" s="203"/>
      <c r="D58" s="95"/>
      <c r="E58" s="201"/>
      <c r="F58" s="201"/>
      <c r="G58" s="88"/>
    </row>
    <row r="59" spans="2:7" ht="15" customHeight="1" x14ac:dyDescent="0.25">
      <c r="B59" s="202"/>
      <c r="C59" s="203"/>
      <c r="D59" s="95"/>
      <c r="E59" s="201"/>
      <c r="F59" s="201"/>
      <c r="G59" s="88"/>
    </row>
    <row r="60" spans="2:7" ht="15" customHeight="1" x14ac:dyDescent="0.25">
      <c r="B60" s="202"/>
      <c r="C60" s="203"/>
      <c r="D60" s="95"/>
      <c r="E60" s="201"/>
      <c r="F60" s="201"/>
      <c r="G60" s="88"/>
    </row>
    <row r="61" spans="2:7" ht="15" customHeight="1" x14ac:dyDescent="0.25">
      <c r="B61" s="202"/>
      <c r="C61" s="203"/>
      <c r="D61" s="95"/>
      <c r="E61" s="201"/>
      <c r="F61" s="201"/>
      <c r="G61" s="88"/>
    </row>
  </sheetData>
  <sheetProtection password="83AF" sheet="1" scenarios="1" selectLockedCells="1"/>
  <mergeCells count="115">
    <mergeCell ref="B20:C20"/>
    <mergeCell ref="B21:C21"/>
    <mergeCell ref="B12:C12"/>
    <mergeCell ref="B13:C13"/>
    <mergeCell ref="B14:C14"/>
    <mergeCell ref="B15:C15"/>
    <mergeCell ref="B16:C16"/>
    <mergeCell ref="B4:G4"/>
    <mergeCell ref="B7:C7"/>
    <mergeCell ref="B8:C8"/>
    <mergeCell ref="B9:C9"/>
    <mergeCell ref="B10:C10"/>
    <mergeCell ref="B11:C11"/>
    <mergeCell ref="B5:C5"/>
    <mergeCell ref="B6:C6"/>
    <mergeCell ref="E5:F5"/>
    <mergeCell ref="E6:F6"/>
    <mergeCell ref="E7:F7"/>
    <mergeCell ref="E8:F8"/>
    <mergeCell ref="E9:F9"/>
    <mergeCell ref="E10:F10"/>
    <mergeCell ref="E11:F11"/>
    <mergeCell ref="E12:F12"/>
    <mergeCell ref="E13:F13"/>
    <mergeCell ref="B61:C61"/>
    <mergeCell ref="B52:C52"/>
    <mergeCell ref="B53:C53"/>
    <mergeCell ref="B54:C54"/>
    <mergeCell ref="B55:C55"/>
    <mergeCell ref="B56:C56"/>
    <mergeCell ref="B47:C47"/>
    <mergeCell ref="B48:C48"/>
    <mergeCell ref="B49:C49"/>
    <mergeCell ref="B50:C50"/>
    <mergeCell ref="B51:C51"/>
    <mergeCell ref="B57:C57"/>
    <mergeCell ref="B58:C58"/>
    <mergeCell ref="B59:C59"/>
    <mergeCell ref="B60:C60"/>
    <mergeCell ref="B42:C42"/>
    <mergeCell ref="B43:C43"/>
    <mergeCell ref="B44:C44"/>
    <mergeCell ref="B45:C45"/>
    <mergeCell ref="B46:C46"/>
    <mergeCell ref="B37:C37"/>
    <mergeCell ref="B38:C38"/>
    <mergeCell ref="B39:C39"/>
    <mergeCell ref="B40:C40"/>
    <mergeCell ref="B41:C41"/>
    <mergeCell ref="B32:C32"/>
    <mergeCell ref="B33:C33"/>
    <mergeCell ref="B34:C34"/>
    <mergeCell ref="B35:C35"/>
    <mergeCell ref="B36:C36"/>
    <mergeCell ref="E17:F17"/>
    <mergeCell ref="E18:F18"/>
    <mergeCell ref="E19:F19"/>
    <mergeCell ref="E20:F20"/>
    <mergeCell ref="E21:F21"/>
    <mergeCell ref="E31:F31"/>
    <mergeCell ref="B27:C27"/>
    <mergeCell ref="B28:C28"/>
    <mergeCell ref="B29:C29"/>
    <mergeCell ref="B30:C30"/>
    <mergeCell ref="B31:C31"/>
    <mergeCell ref="B22:C22"/>
    <mergeCell ref="B23:C23"/>
    <mergeCell ref="B24:C24"/>
    <mergeCell ref="B25:C25"/>
    <mergeCell ref="B26:C26"/>
    <mergeCell ref="B17:C17"/>
    <mergeCell ref="B18:C18"/>
    <mergeCell ref="B19:C19"/>
    <mergeCell ref="E14:F14"/>
    <mergeCell ref="E15:F15"/>
    <mergeCell ref="E16:F16"/>
    <mergeCell ref="E27:F27"/>
    <mergeCell ref="E28:F28"/>
    <mergeCell ref="E29:F29"/>
    <mergeCell ref="E30:F30"/>
    <mergeCell ref="E22:F22"/>
    <mergeCell ref="E23:F23"/>
    <mergeCell ref="E24:F24"/>
    <mergeCell ref="E25:F25"/>
    <mergeCell ref="E26:F26"/>
    <mergeCell ref="E37:F37"/>
    <mergeCell ref="E38:F38"/>
    <mergeCell ref="E39:F39"/>
    <mergeCell ref="E40:F40"/>
    <mergeCell ref="E41:F41"/>
    <mergeCell ref="E32:F32"/>
    <mergeCell ref="E33:F33"/>
    <mergeCell ref="E34:F34"/>
    <mergeCell ref="E35:F35"/>
    <mergeCell ref="E36:F36"/>
    <mergeCell ref="E47:F47"/>
    <mergeCell ref="E48:F48"/>
    <mergeCell ref="E49:F49"/>
    <mergeCell ref="E50:F50"/>
    <mergeCell ref="E51:F51"/>
    <mergeCell ref="E42:F42"/>
    <mergeCell ref="E43:F43"/>
    <mergeCell ref="E44:F44"/>
    <mergeCell ref="E45:F45"/>
    <mergeCell ref="E46:F46"/>
    <mergeCell ref="E57:F57"/>
    <mergeCell ref="E58:F58"/>
    <mergeCell ref="E59:F59"/>
    <mergeCell ref="E60:F60"/>
    <mergeCell ref="E61:F61"/>
    <mergeCell ref="E52:F52"/>
    <mergeCell ref="E53:F53"/>
    <mergeCell ref="E54:F54"/>
    <mergeCell ref="E55:F55"/>
    <mergeCell ref="E56:F56"/>
  </mergeCells>
  <dataValidations count="2">
    <dataValidation type="list" allowBlank="1" showInputMessage="1" showErrorMessage="1" sqref="D62:D63 E6:E61">
      <formula1>CURRENCY</formula1>
    </dataValidation>
    <dataValidation errorStyle="warning" operator="lessThanOrEqual" allowBlank="1" showInputMessage="1" showErrorMessage="1" errorTitle="Invalid Date" error="The entered date is in the future or is not in the dd/mm/yyyy format" sqref="D6:D61"/>
  </dataValidations>
  <pageMargins left="0.7" right="0.7" top="0.75" bottom="0.75" header="0.3" footer="0.3"/>
  <pageSetup orientation="portrait" r:id="rId1"/>
  <headerFooter>
    <oddFooter>&amp;LRESTRICTED</oddFooter>
    <evenFooter>&amp;LRESTRICTED</evenFooter>
    <firstFooter>&amp;LRESTRICTED</first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References!$F$1:$F$3</xm:f>
          </x14:formula1>
          <xm:sqref>B6:B63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J61"/>
  <sheetViews>
    <sheetView showGridLines="0" showRowColHeaders="0" zoomScale="120" zoomScaleNormal="120" workbookViewId="0">
      <selection activeCell="B5" sqref="B5:J10"/>
    </sheetView>
  </sheetViews>
  <sheetFormatPr defaultRowHeight="15" x14ac:dyDescent="0.25"/>
  <cols>
    <col min="1" max="1" width="5.28515625" customWidth="1"/>
    <col min="2" max="2" width="17.140625" customWidth="1"/>
    <col min="3" max="3" width="9.42578125" customWidth="1"/>
    <col min="4" max="4" width="16.5703125" customWidth="1"/>
    <col min="5" max="5" width="11.7109375" customWidth="1"/>
    <col min="6" max="6" width="10.5703125" customWidth="1"/>
    <col min="7" max="7" width="15.28515625" customWidth="1"/>
    <col min="8" max="8" width="21.140625" customWidth="1"/>
    <col min="9" max="9" width="24" customWidth="1"/>
    <col min="10" max="10" width="24.5703125" customWidth="1"/>
  </cols>
  <sheetData>
    <row r="2" spans="2:10" x14ac:dyDescent="0.25">
      <c r="D2" s="207" t="s">
        <v>116</v>
      </c>
      <c r="E2" s="207"/>
      <c r="F2" s="207"/>
      <c r="G2" s="207"/>
      <c r="H2" s="207"/>
      <c r="I2" s="207"/>
      <c r="J2" s="207"/>
    </row>
    <row r="3" spans="2:10" x14ac:dyDescent="0.25">
      <c r="D3" s="207"/>
      <c r="E3" s="207"/>
      <c r="F3" s="207"/>
      <c r="G3" s="207"/>
      <c r="H3" s="207"/>
      <c r="I3" s="207"/>
      <c r="J3" s="207"/>
    </row>
    <row r="4" spans="2:10" ht="18.75" x14ac:dyDescent="0.3">
      <c r="B4" s="204" t="s">
        <v>67</v>
      </c>
      <c r="C4" s="204"/>
      <c r="D4" s="204"/>
      <c r="E4" s="204"/>
      <c r="F4" s="204"/>
      <c r="G4" s="204"/>
      <c r="H4" s="204"/>
      <c r="I4" s="204"/>
      <c r="J4" s="204"/>
    </row>
    <row r="5" spans="2:10" ht="26.25" x14ac:dyDescent="0.25">
      <c r="B5" s="208" t="s">
        <v>68</v>
      </c>
      <c r="C5" s="209"/>
      <c r="D5" s="59" t="s">
        <v>115</v>
      </c>
      <c r="E5" s="208" t="s">
        <v>14</v>
      </c>
      <c r="F5" s="209"/>
      <c r="G5" s="58" t="s">
        <v>9</v>
      </c>
      <c r="H5" s="58" t="s">
        <v>27</v>
      </c>
      <c r="I5" s="58" t="s">
        <v>69</v>
      </c>
      <c r="J5" s="58" t="s">
        <v>59</v>
      </c>
    </row>
    <row r="6" spans="2:10" x14ac:dyDescent="0.25">
      <c r="B6" s="202"/>
      <c r="C6" s="203"/>
      <c r="D6" s="95"/>
      <c r="E6" s="202"/>
      <c r="F6" s="203"/>
      <c r="G6" s="88">
        <v>0</v>
      </c>
      <c r="H6" s="88"/>
      <c r="I6" s="88"/>
      <c r="J6" s="88"/>
    </row>
    <row r="7" spans="2:10" x14ac:dyDescent="0.25">
      <c r="B7" s="202"/>
      <c r="C7" s="203"/>
      <c r="D7" s="95"/>
      <c r="E7" s="202"/>
      <c r="F7" s="203"/>
      <c r="G7" s="88"/>
      <c r="H7" s="88"/>
      <c r="I7" s="88"/>
      <c r="J7" s="88"/>
    </row>
    <row r="8" spans="2:10" x14ac:dyDescent="0.25">
      <c r="B8" s="202"/>
      <c r="C8" s="203"/>
      <c r="D8" s="95"/>
      <c r="E8" s="202"/>
      <c r="F8" s="203"/>
      <c r="G8" s="88"/>
      <c r="H8" s="88"/>
      <c r="I8" s="88"/>
      <c r="J8" s="88"/>
    </row>
    <row r="9" spans="2:10" x14ac:dyDescent="0.25">
      <c r="B9" s="202"/>
      <c r="C9" s="203"/>
      <c r="D9" s="95"/>
      <c r="E9" s="202"/>
      <c r="F9" s="203"/>
      <c r="G9" s="88"/>
      <c r="H9" s="88"/>
      <c r="I9" s="88"/>
      <c r="J9" s="88"/>
    </row>
    <row r="10" spans="2:10" x14ac:dyDescent="0.25">
      <c r="B10" s="202"/>
      <c r="C10" s="203"/>
      <c r="D10" s="95"/>
      <c r="E10" s="202"/>
      <c r="F10" s="203"/>
      <c r="G10" s="88"/>
      <c r="H10" s="88"/>
      <c r="I10" s="88"/>
      <c r="J10" s="88"/>
    </row>
    <row r="11" spans="2:10" x14ac:dyDescent="0.25">
      <c r="B11" s="202"/>
      <c r="C11" s="203"/>
      <c r="D11" s="95"/>
      <c r="E11" s="202"/>
      <c r="F11" s="203"/>
      <c r="G11" s="88"/>
      <c r="H11" s="88"/>
      <c r="I11" s="88"/>
      <c r="J11" s="88"/>
    </row>
    <row r="12" spans="2:10" x14ac:dyDescent="0.25">
      <c r="B12" s="202"/>
      <c r="C12" s="203"/>
      <c r="D12" s="95"/>
      <c r="E12" s="202"/>
      <c r="F12" s="203"/>
      <c r="G12" s="88"/>
      <c r="H12" s="88"/>
      <c r="I12" s="88"/>
      <c r="J12" s="88"/>
    </row>
    <row r="13" spans="2:10" x14ac:dyDescent="0.25">
      <c r="B13" s="202"/>
      <c r="C13" s="203"/>
      <c r="D13" s="95"/>
      <c r="E13" s="202"/>
      <c r="F13" s="203"/>
      <c r="G13" s="88"/>
      <c r="H13" s="88"/>
      <c r="I13" s="88"/>
      <c r="J13" s="88"/>
    </row>
    <row r="14" spans="2:10" x14ac:dyDescent="0.25">
      <c r="B14" s="202"/>
      <c r="C14" s="203"/>
      <c r="D14" s="95"/>
      <c r="E14" s="202"/>
      <c r="F14" s="203"/>
      <c r="G14" s="88"/>
      <c r="H14" s="88"/>
      <c r="I14" s="88"/>
      <c r="J14" s="88"/>
    </row>
    <row r="15" spans="2:10" x14ac:dyDescent="0.25">
      <c r="B15" s="202"/>
      <c r="C15" s="203"/>
      <c r="D15" s="95"/>
      <c r="E15" s="202"/>
      <c r="F15" s="203"/>
      <c r="G15" s="88"/>
      <c r="H15" s="88"/>
      <c r="I15" s="88"/>
      <c r="J15" s="88"/>
    </row>
    <row r="16" spans="2:10" x14ac:dyDescent="0.25">
      <c r="B16" s="202"/>
      <c r="C16" s="203"/>
      <c r="D16" s="95"/>
      <c r="E16" s="202"/>
      <c r="F16" s="203"/>
      <c r="G16" s="88"/>
      <c r="H16" s="88"/>
      <c r="I16" s="88"/>
      <c r="J16" s="88"/>
    </row>
    <row r="17" spans="2:10" x14ac:dyDescent="0.25">
      <c r="B17" s="202"/>
      <c r="C17" s="203"/>
      <c r="D17" s="95"/>
      <c r="E17" s="202"/>
      <c r="F17" s="203"/>
      <c r="G17" s="88"/>
      <c r="H17" s="88"/>
      <c r="I17" s="88"/>
      <c r="J17" s="88"/>
    </row>
    <row r="18" spans="2:10" x14ac:dyDescent="0.25">
      <c r="B18" s="202"/>
      <c r="C18" s="203"/>
      <c r="D18" s="95"/>
      <c r="E18" s="202"/>
      <c r="F18" s="203"/>
      <c r="G18" s="88"/>
      <c r="H18" s="88"/>
      <c r="I18" s="88"/>
      <c r="J18" s="88"/>
    </row>
    <row r="19" spans="2:10" x14ac:dyDescent="0.25">
      <c r="B19" s="202"/>
      <c r="C19" s="203"/>
      <c r="D19" s="95"/>
      <c r="E19" s="202"/>
      <c r="F19" s="203"/>
      <c r="G19" s="88"/>
      <c r="H19" s="88"/>
      <c r="I19" s="88"/>
      <c r="J19" s="88"/>
    </row>
    <row r="20" spans="2:10" x14ac:dyDescent="0.25">
      <c r="B20" s="202"/>
      <c r="C20" s="203"/>
      <c r="D20" s="95"/>
      <c r="E20" s="202"/>
      <c r="F20" s="203"/>
      <c r="G20" s="88"/>
      <c r="H20" s="88"/>
      <c r="I20" s="88"/>
      <c r="J20" s="88"/>
    </row>
    <row r="21" spans="2:10" x14ac:dyDescent="0.25">
      <c r="B21" s="202"/>
      <c r="C21" s="203"/>
      <c r="D21" s="95"/>
      <c r="E21" s="202"/>
      <c r="F21" s="203"/>
      <c r="G21" s="88"/>
      <c r="H21" s="88"/>
      <c r="I21" s="88"/>
      <c r="J21" s="88"/>
    </row>
    <row r="22" spans="2:10" x14ac:dyDescent="0.25">
      <c r="B22" s="202"/>
      <c r="C22" s="203"/>
      <c r="D22" s="95"/>
      <c r="E22" s="202"/>
      <c r="F22" s="203"/>
      <c r="G22" s="88"/>
      <c r="H22" s="88"/>
      <c r="I22" s="88"/>
      <c r="J22" s="88"/>
    </row>
    <row r="23" spans="2:10" x14ac:dyDescent="0.25">
      <c r="B23" s="202"/>
      <c r="C23" s="203"/>
      <c r="D23" s="95"/>
      <c r="E23" s="202"/>
      <c r="F23" s="203"/>
      <c r="G23" s="88"/>
      <c r="H23" s="88"/>
      <c r="I23" s="88"/>
      <c r="J23" s="88"/>
    </row>
    <row r="24" spans="2:10" x14ac:dyDescent="0.25">
      <c r="B24" s="202"/>
      <c r="C24" s="203"/>
      <c r="D24" s="95"/>
      <c r="E24" s="202"/>
      <c r="F24" s="203"/>
      <c r="G24" s="88"/>
      <c r="H24" s="88"/>
      <c r="I24" s="88"/>
      <c r="J24" s="88"/>
    </row>
    <row r="25" spans="2:10" x14ac:dyDescent="0.25">
      <c r="B25" s="202"/>
      <c r="C25" s="203"/>
      <c r="D25" s="95"/>
      <c r="E25" s="202"/>
      <c r="F25" s="203"/>
      <c r="G25" s="88"/>
      <c r="H25" s="88"/>
      <c r="I25" s="88"/>
      <c r="J25" s="88"/>
    </row>
    <row r="26" spans="2:10" x14ac:dyDescent="0.25">
      <c r="B26" s="202"/>
      <c r="C26" s="203"/>
      <c r="D26" s="95"/>
      <c r="E26" s="202"/>
      <c r="F26" s="203"/>
      <c r="G26" s="88"/>
      <c r="H26" s="88"/>
      <c r="I26" s="88"/>
      <c r="J26" s="88"/>
    </row>
    <row r="27" spans="2:10" x14ac:dyDescent="0.25">
      <c r="B27" s="202"/>
      <c r="C27" s="203"/>
      <c r="D27" s="95"/>
      <c r="E27" s="202"/>
      <c r="F27" s="203"/>
      <c r="G27" s="88"/>
      <c r="H27" s="88"/>
      <c r="I27" s="88"/>
      <c r="J27" s="88"/>
    </row>
    <row r="28" spans="2:10" x14ac:dyDescent="0.25">
      <c r="B28" s="202"/>
      <c r="C28" s="203"/>
      <c r="D28" s="95"/>
      <c r="E28" s="202"/>
      <c r="F28" s="203"/>
      <c r="G28" s="88"/>
      <c r="H28" s="88"/>
      <c r="I28" s="88"/>
      <c r="J28" s="88"/>
    </row>
    <row r="29" spans="2:10" x14ac:dyDescent="0.25">
      <c r="B29" s="202"/>
      <c r="C29" s="203"/>
      <c r="D29" s="95"/>
      <c r="E29" s="202"/>
      <c r="F29" s="203"/>
      <c r="G29" s="88"/>
      <c r="H29" s="88"/>
      <c r="I29" s="88"/>
      <c r="J29" s="88"/>
    </row>
    <row r="30" spans="2:10" x14ac:dyDescent="0.25">
      <c r="B30" s="202"/>
      <c r="C30" s="203"/>
      <c r="D30" s="95"/>
      <c r="E30" s="202"/>
      <c r="F30" s="203"/>
      <c r="G30" s="88"/>
      <c r="H30" s="88"/>
      <c r="I30" s="88"/>
      <c r="J30" s="88"/>
    </row>
    <row r="31" spans="2:10" x14ac:dyDescent="0.25">
      <c r="B31" s="202"/>
      <c r="C31" s="203"/>
      <c r="D31" s="95"/>
      <c r="E31" s="202"/>
      <c r="F31" s="203"/>
      <c r="G31" s="88"/>
      <c r="H31" s="88"/>
      <c r="I31" s="88"/>
      <c r="J31" s="88"/>
    </row>
    <row r="32" spans="2:10" x14ac:dyDescent="0.25">
      <c r="B32" s="202"/>
      <c r="C32" s="203"/>
      <c r="D32" s="95"/>
      <c r="E32" s="202"/>
      <c r="F32" s="203"/>
      <c r="G32" s="88"/>
      <c r="H32" s="88"/>
      <c r="I32" s="88"/>
      <c r="J32" s="88"/>
    </row>
    <row r="33" spans="2:10" x14ac:dyDescent="0.25">
      <c r="B33" s="202"/>
      <c r="C33" s="203"/>
      <c r="D33" s="95"/>
      <c r="E33" s="202"/>
      <c r="F33" s="203"/>
      <c r="G33" s="88"/>
      <c r="H33" s="88"/>
      <c r="I33" s="88"/>
      <c r="J33" s="88"/>
    </row>
    <row r="34" spans="2:10" x14ac:dyDescent="0.25">
      <c r="B34" s="202"/>
      <c r="C34" s="203"/>
      <c r="D34" s="95"/>
      <c r="E34" s="202"/>
      <c r="F34" s="203"/>
      <c r="G34" s="88"/>
      <c r="H34" s="88"/>
      <c r="I34" s="88"/>
      <c r="J34" s="88"/>
    </row>
    <row r="35" spans="2:10" x14ac:dyDescent="0.25">
      <c r="B35" s="202"/>
      <c r="C35" s="203"/>
      <c r="D35" s="95"/>
      <c r="E35" s="202"/>
      <c r="F35" s="203"/>
      <c r="G35" s="88"/>
      <c r="H35" s="88"/>
      <c r="I35" s="88"/>
      <c r="J35" s="88"/>
    </row>
    <row r="36" spans="2:10" x14ac:dyDescent="0.25">
      <c r="B36" s="202"/>
      <c r="C36" s="203"/>
      <c r="D36" s="95"/>
      <c r="E36" s="202"/>
      <c r="F36" s="203"/>
      <c r="G36" s="88"/>
      <c r="H36" s="88"/>
      <c r="I36" s="88"/>
      <c r="J36" s="88"/>
    </row>
    <row r="37" spans="2:10" x14ac:dyDescent="0.25">
      <c r="B37" s="202"/>
      <c r="C37" s="203"/>
      <c r="D37" s="95"/>
      <c r="E37" s="202"/>
      <c r="F37" s="203"/>
      <c r="G37" s="88"/>
      <c r="H37" s="88"/>
      <c r="I37" s="88"/>
      <c r="J37" s="88"/>
    </row>
    <row r="38" spans="2:10" x14ac:dyDescent="0.25">
      <c r="B38" s="202"/>
      <c r="C38" s="203"/>
      <c r="D38" s="95"/>
      <c r="E38" s="202"/>
      <c r="F38" s="203"/>
      <c r="G38" s="88"/>
      <c r="H38" s="88"/>
      <c r="I38" s="88"/>
      <c r="J38" s="88"/>
    </row>
    <row r="39" spans="2:10" x14ac:dyDescent="0.25">
      <c r="B39" s="202"/>
      <c r="C39" s="203"/>
      <c r="D39" s="95"/>
      <c r="E39" s="202"/>
      <c r="F39" s="203"/>
      <c r="G39" s="88"/>
      <c r="H39" s="88"/>
      <c r="I39" s="88"/>
      <c r="J39" s="88"/>
    </row>
    <row r="40" spans="2:10" x14ac:dyDescent="0.25">
      <c r="B40" s="202"/>
      <c r="C40" s="203"/>
      <c r="D40" s="95"/>
      <c r="E40" s="202"/>
      <c r="F40" s="203"/>
      <c r="G40" s="88"/>
      <c r="H40" s="88"/>
      <c r="I40" s="88"/>
      <c r="J40" s="88"/>
    </row>
    <row r="41" spans="2:10" x14ac:dyDescent="0.25">
      <c r="B41" s="202"/>
      <c r="C41" s="203"/>
      <c r="D41" s="95"/>
      <c r="E41" s="202"/>
      <c r="F41" s="203"/>
      <c r="G41" s="88"/>
      <c r="H41" s="88"/>
      <c r="I41" s="88"/>
      <c r="J41" s="88"/>
    </row>
    <row r="42" spans="2:10" x14ac:dyDescent="0.25">
      <c r="B42" s="202"/>
      <c r="C42" s="203"/>
      <c r="D42" s="95"/>
      <c r="E42" s="202"/>
      <c r="F42" s="203"/>
      <c r="G42" s="88"/>
      <c r="H42" s="88"/>
      <c r="I42" s="88"/>
      <c r="J42" s="88"/>
    </row>
    <row r="43" spans="2:10" x14ac:dyDescent="0.25">
      <c r="B43" s="202"/>
      <c r="C43" s="203"/>
      <c r="D43" s="95"/>
      <c r="E43" s="202"/>
      <c r="F43" s="203"/>
      <c r="G43" s="88"/>
      <c r="H43" s="88"/>
      <c r="I43" s="88"/>
      <c r="J43" s="88"/>
    </row>
    <row r="44" spans="2:10" x14ac:dyDescent="0.25">
      <c r="B44" s="202"/>
      <c r="C44" s="203"/>
      <c r="D44" s="95"/>
      <c r="E44" s="202"/>
      <c r="F44" s="203"/>
      <c r="G44" s="88"/>
      <c r="H44" s="88"/>
      <c r="I44" s="88"/>
      <c r="J44" s="88"/>
    </row>
    <row r="45" spans="2:10" x14ac:dyDescent="0.25">
      <c r="B45" s="202"/>
      <c r="C45" s="203"/>
      <c r="D45" s="95"/>
      <c r="E45" s="202"/>
      <c r="F45" s="203"/>
      <c r="G45" s="88"/>
      <c r="H45" s="88"/>
      <c r="I45" s="88"/>
      <c r="J45" s="88"/>
    </row>
    <row r="46" spans="2:10" x14ac:dyDescent="0.25">
      <c r="B46" s="202"/>
      <c r="C46" s="203"/>
      <c r="D46" s="95"/>
      <c r="E46" s="202"/>
      <c r="F46" s="203"/>
      <c r="G46" s="88"/>
      <c r="H46" s="88"/>
      <c r="I46" s="88"/>
      <c r="J46" s="88"/>
    </row>
    <row r="47" spans="2:10" x14ac:dyDescent="0.25">
      <c r="B47" s="202"/>
      <c r="C47" s="203"/>
      <c r="D47" s="95"/>
      <c r="E47" s="202"/>
      <c r="F47" s="203"/>
      <c r="G47" s="88"/>
      <c r="H47" s="88"/>
      <c r="I47" s="88"/>
      <c r="J47" s="88"/>
    </row>
    <row r="48" spans="2:10" x14ac:dyDescent="0.25">
      <c r="B48" s="202"/>
      <c r="C48" s="203"/>
      <c r="D48" s="95"/>
      <c r="E48" s="202"/>
      <c r="F48" s="203"/>
      <c r="G48" s="88"/>
      <c r="H48" s="88"/>
      <c r="I48" s="88"/>
      <c r="J48" s="88"/>
    </row>
    <row r="49" spans="2:10" x14ac:dyDescent="0.25">
      <c r="B49" s="202"/>
      <c r="C49" s="203"/>
      <c r="D49" s="95"/>
      <c r="E49" s="202"/>
      <c r="F49" s="203"/>
      <c r="G49" s="88"/>
      <c r="H49" s="88"/>
      <c r="I49" s="88"/>
      <c r="J49" s="88"/>
    </row>
    <row r="50" spans="2:10" x14ac:dyDescent="0.25">
      <c r="B50" s="202"/>
      <c r="C50" s="203"/>
      <c r="D50" s="95"/>
      <c r="E50" s="202"/>
      <c r="F50" s="203"/>
      <c r="G50" s="88"/>
      <c r="H50" s="88"/>
      <c r="I50" s="88"/>
      <c r="J50" s="88"/>
    </row>
    <row r="51" spans="2:10" x14ac:dyDescent="0.25">
      <c r="B51" s="202"/>
      <c r="C51" s="203"/>
      <c r="D51" s="95"/>
      <c r="E51" s="202"/>
      <c r="F51" s="203"/>
      <c r="G51" s="88"/>
      <c r="H51" s="88"/>
      <c r="I51" s="88"/>
      <c r="J51" s="88"/>
    </row>
    <row r="52" spans="2:10" x14ac:dyDescent="0.25">
      <c r="B52" s="202"/>
      <c r="C52" s="203"/>
      <c r="D52" s="95"/>
      <c r="E52" s="202"/>
      <c r="F52" s="203"/>
      <c r="G52" s="88"/>
      <c r="H52" s="88"/>
      <c r="I52" s="88"/>
      <c r="J52" s="88"/>
    </row>
    <row r="53" spans="2:10" x14ac:dyDescent="0.25">
      <c r="B53" s="202"/>
      <c r="C53" s="203"/>
      <c r="D53" s="95"/>
      <c r="E53" s="202"/>
      <c r="F53" s="203"/>
      <c r="G53" s="88"/>
      <c r="H53" s="88"/>
      <c r="I53" s="88"/>
      <c r="J53" s="88"/>
    </row>
    <row r="54" spans="2:10" x14ac:dyDescent="0.25">
      <c r="B54" s="202"/>
      <c r="C54" s="203"/>
      <c r="D54" s="95"/>
      <c r="E54" s="202"/>
      <c r="F54" s="203"/>
      <c r="G54" s="88"/>
      <c r="H54" s="88"/>
      <c r="I54" s="88"/>
      <c r="J54" s="88"/>
    </row>
    <row r="55" spans="2:10" x14ac:dyDescent="0.25">
      <c r="B55" s="202"/>
      <c r="C55" s="203"/>
      <c r="D55" s="95"/>
      <c r="E55" s="202"/>
      <c r="F55" s="203"/>
      <c r="G55" s="88"/>
      <c r="H55" s="88"/>
      <c r="I55" s="88"/>
      <c r="J55" s="88"/>
    </row>
    <row r="56" spans="2:10" x14ac:dyDescent="0.25">
      <c r="B56" s="202"/>
      <c r="C56" s="203"/>
      <c r="D56" s="95"/>
      <c r="E56" s="202"/>
      <c r="F56" s="203"/>
      <c r="G56" s="88"/>
      <c r="H56" s="88"/>
      <c r="I56" s="88"/>
      <c r="J56" s="88"/>
    </row>
    <row r="57" spans="2:10" x14ac:dyDescent="0.25">
      <c r="B57" s="202"/>
      <c r="C57" s="203"/>
      <c r="D57" s="95"/>
      <c r="E57" s="202"/>
      <c r="F57" s="203"/>
      <c r="G57" s="88"/>
      <c r="H57" s="88"/>
      <c r="I57" s="88"/>
      <c r="J57" s="88"/>
    </row>
    <row r="58" spans="2:10" x14ac:dyDescent="0.25">
      <c r="B58" s="202"/>
      <c r="C58" s="203"/>
      <c r="D58" s="95"/>
      <c r="E58" s="202"/>
      <c r="F58" s="203"/>
      <c r="G58" s="88"/>
      <c r="H58" s="88"/>
      <c r="I58" s="88"/>
      <c r="J58" s="88"/>
    </row>
    <row r="59" spans="2:10" x14ac:dyDescent="0.25">
      <c r="B59" s="202"/>
      <c r="C59" s="203"/>
      <c r="D59" s="95"/>
      <c r="E59" s="202"/>
      <c r="F59" s="203"/>
      <c r="G59" s="88"/>
      <c r="H59" s="88"/>
      <c r="I59" s="88"/>
      <c r="J59" s="88"/>
    </row>
    <row r="60" spans="2:10" x14ac:dyDescent="0.25">
      <c r="B60" s="202"/>
      <c r="C60" s="203"/>
      <c r="D60" s="95"/>
      <c r="E60" s="202"/>
      <c r="F60" s="203"/>
      <c r="G60" s="88"/>
      <c r="H60" s="88"/>
      <c r="I60" s="88"/>
      <c r="J60" s="88"/>
    </row>
    <row r="61" spans="2:10" x14ac:dyDescent="0.25">
      <c r="B61" s="202"/>
      <c r="C61" s="203"/>
      <c r="D61" s="95"/>
      <c r="E61" s="202"/>
      <c r="F61" s="203"/>
      <c r="G61" s="88"/>
      <c r="H61" s="88"/>
      <c r="I61" s="88"/>
      <c r="J61" s="88"/>
    </row>
  </sheetData>
  <sheetProtection password="83AF" sheet="1" scenarios="1" selectLockedCells="1"/>
  <mergeCells count="116">
    <mergeCell ref="E10:F10"/>
    <mergeCell ref="E11:F11"/>
    <mergeCell ref="B4:J4"/>
    <mergeCell ref="D2:J3"/>
    <mergeCell ref="B5:C5"/>
    <mergeCell ref="E5:F5"/>
    <mergeCell ref="E6:F6"/>
    <mergeCell ref="B6:C6"/>
    <mergeCell ref="E7:F7"/>
    <mergeCell ref="E8:F8"/>
    <mergeCell ref="E9:F9"/>
    <mergeCell ref="B20:C20"/>
    <mergeCell ref="B21:C21"/>
    <mergeCell ref="B12:C12"/>
    <mergeCell ref="B13:C13"/>
    <mergeCell ref="B14:C14"/>
    <mergeCell ref="B15:C15"/>
    <mergeCell ref="B16:C16"/>
    <mergeCell ref="B7:C7"/>
    <mergeCell ref="B8:C8"/>
    <mergeCell ref="B9:C9"/>
    <mergeCell ref="B10:C10"/>
    <mergeCell ref="B11:C11"/>
    <mergeCell ref="B61:C61"/>
    <mergeCell ref="B52:C52"/>
    <mergeCell ref="B53:C53"/>
    <mergeCell ref="B54:C54"/>
    <mergeCell ref="B55:C55"/>
    <mergeCell ref="B56:C56"/>
    <mergeCell ref="B47:C47"/>
    <mergeCell ref="B48:C48"/>
    <mergeCell ref="B49:C49"/>
    <mergeCell ref="B50:C50"/>
    <mergeCell ref="B51:C51"/>
    <mergeCell ref="B57:C57"/>
    <mergeCell ref="B58:C58"/>
    <mergeCell ref="B59:C59"/>
    <mergeCell ref="B60:C60"/>
    <mergeCell ref="B42:C42"/>
    <mergeCell ref="B43:C43"/>
    <mergeCell ref="B44:C44"/>
    <mergeCell ref="B45:C45"/>
    <mergeCell ref="B46:C46"/>
    <mergeCell ref="B37:C37"/>
    <mergeCell ref="B38:C38"/>
    <mergeCell ref="B39:C39"/>
    <mergeCell ref="B40:C40"/>
    <mergeCell ref="B41:C41"/>
    <mergeCell ref="B32:C32"/>
    <mergeCell ref="B33:C33"/>
    <mergeCell ref="B34:C34"/>
    <mergeCell ref="B35:C35"/>
    <mergeCell ref="B36:C36"/>
    <mergeCell ref="E17:F17"/>
    <mergeCell ref="E18:F18"/>
    <mergeCell ref="E19:F19"/>
    <mergeCell ref="E20:F20"/>
    <mergeCell ref="E21:F21"/>
    <mergeCell ref="E31:F31"/>
    <mergeCell ref="B27:C27"/>
    <mergeCell ref="B28:C28"/>
    <mergeCell ref="B29:C29"/>
    <mergeCell ref="B30:C30"/>
    <mergeCell ref="B31:C31"/>
    <mergeCell ref="B22:C22"/>
    <mergeCell ref="B23:C23"/>
    <mergeCell ref="B24:C24"/>
    <mergeCell ref="B25:C25"/>
    <mergeCell ref="B26:C26"/>
    <mergeCell ref="B17:C17"/>
    <mergeCell ref="B18:C18"/>
    <mergeCell ref="B19:C19"/>
    <mergeCell ref="E12:F12"/>
    <mergeCell ref="E13:F13"/>
    <mergeCell ref="E14:F14"/>
    <mergeCell ref="E15:F15"/>
    <mergeCell ref="E16:F16"/>
    <mergeCell ref="E27:F27"/>
    <mergeCell ref="E28:F28"/>
    <mergeCell ref="E29:F29"/>
    <mergeCell ref="E30:F30"/>
    <mergeCell ref="E22:F22"/>
    <mergeCell ref="E23:F23"/>
    <mergeCell ref="E24:F24"/>
    <mergeCell ref="E25:F25"/>
    <mergeCell ref="E26:F26"/>
    <mergeCell ref="E37:F37"/>
    <mergeCell ref="E38:F38"/>
    <mergeCell ref="E39:F39"/>
    <mergeCell ref="E40:F40"/>
    <mergeCell ref="E41:F41"/>
    <mergeCell ref="E32:F32"/>
    <mergeCell ref="E33:F33"/>
    <mergeCell ref="E34:F34"/>
    <mergeCell ref="E35:F35"/>
    <mergeCell ref="E36:F36"/>
    <mergeCell ref="E47:F47"/>
    <mergeCell ref="E48:F48"/>
    <mergeCell ref="E49:F49"/>
    <mergeCell ref="E50:F50"/>
    <mergeCell ref="E51:F51"/>
    <mergeCell ref="E42:F42"/>
    <mergeCell ref="E43:F43"/>
    <mergeCell ref="E44:F44"/>
    <mergeCell ref="E45:F45"/>
    <mergeCell ref="E46:F46"/>
    <mergeCell ref="E57:F57"/>
    <mergeCell ref="E58:F58"/>
    <mergeCell ref="E59:F59"/>
    <mergeCell ref="E60:F60"/>
    <mergeCell ref="E61:F61"/>
    <mergeCell ref="E52:F52"/>
    <mergeCell ref="E53:F53"/>
    <mergeCell ref="E54:F54"/>
    <mergeCell ref="E55:F55"/>
    <mergeCell ref="E56:F56"/>
  </mergeCells>
  <dataValidations count="3">
    <dataValidation type="list" allowBlank="1" showInputMessage="1" showErrorMessage="1" sqref="H6:H61">
      <formula1>Payment_Type</formula1>
    </dataValidation>
    <dataValidation type="list" allowBlank="1" showInputMessage="1" showErrorMessage="1" sqref="F62:F63 E6:E63">
      <formula1>CURRENCY</formula1>
    </dataValidation>
    <dataValidation errorStyle="warning" operator="lessThanOrEqual" allowBlank="1" showInputMessage="1" showErrorMessage="1" errorTitle="Invalid Date" error="The entered date is in the future or is not in the dd/mm/yyyy format" sqref="D6:D61"/>
  </dataValidations>
  <pageMargins left="0.7" right="0.7" top="0.75" bottom="0.75" header="0.3" footer="0.3"/>
  <pageSetup orientation="portrait" r:id="rId1"/>
  <headerFooter>
    <oddFooter>&amp;LRESTRICTED</oddFooter>
    <evenFooter>&amp;LRESTRICTED</evenFooter>
    <firstFooter>&amp;LRESTRICTED</first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References!$H$1:$H$51</xm:f>
          </x14:formula1>
          <xm:sqref>I6:I61</xm:sqref>
        </x14:dataValidation>
        <x14:dataValidation type="list" allowBlank="1" showInputMessage="1" showErrorMessage="1">
          <x14:formula1>
            <xm:f>References!$F$1:$F$3</xm:f>
          </x14:formula1>
          <xm:sqref>B62:C63</xm:sqref>
        </x14:dataValidation>
        <x14:dataValidation type="list" allowBlank="1" showInputMessage="1" showErrorMessage="1">
          <x14:formula1>
            <xm:f>References!$G$1:$G$7</xm:f>
          </x14:formula1>
          <xm:sqref>B6:B61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XFD194"/>
  <sheetViews>
    <sheetView showGridLines="0" showRowColHeaders="0" zoomScale="140" zoomScaleNormal="140" workbookViewId="0">
      <selection activeCell="E7" sqref="E7:F7"/>
    </sheetView>
  </sheetViews>
  <sheetFormatPr defaultRowHeight="15" x14ac:dyDescent="0.25"/>
  <cols>
    <col min="1" max="2" width="3.7109375" customWidth="1"/>
    <col min="5" max="5" width="10.140625" customWidth="1"/>
    <col min="6" max="6" width="13.140625" customWidth="1"/>
    <col min="7" max="7" width="8" customWidth="1"/>
    <col min="8" max="8" width="12.7109375" customWidth="1"/>
    <col min="9" max="9" width="13.140625" customWidth="1"/>
    <col min="10" max="10" width="13.85546875" customWidth="1"/>
    <col min="11" max="11" width="13.28515625" customWidth="1"/>
    <col min="12" max="12" width="3.85546875" customWidth="1"/>
    <col min="13" max="13" width="3.7109375" customWidth="1"/>
  </cols>
  <sheetData>
    <row r="1" spans="2:12" ht="15" customHeight="1" thickBot="1" x14ac:dyDescent="0.3"/>
    <row r="2" spans="2:12" ht="8.25" customHeight="1" x14ac:dyDescent="0.25">
      <c r="B2" s="15"/>
      <c r="C2" s="16"/>
      <c r="D2" s="16"/>
      <c r="E2" s="16"/>
      <c r="F2" s="16"/>
      <c r="G2" s="16"/>
      <c r="H2" s="16"/>
      <c r="I2" s="16"/>
      <c r="J2" s="16"/>
      <c r="K2" s="157">
        <v>2</v>
      </c>
      <c r="L2" s="158"/>
    </row>
    <row r="3" spans="2:12" ht="15.75" x14ac:dyDescent="0.25">
      <c r="B3" s="18"/>
      <c r="C3" s="156" t="s">
        <v>202</v>
      </c>
      <c r="D3" s="156"/>
      <c r="E3" s="156"/>
      <c r="F3" s="156"/>
      <c r="G3" s="156"/>
      <c r="H3" s="156"/>
      <c r="I3" s="156"/>
      <c r="J3" s="156"/>
      <c r="K3" s="159"/>
      <c r="L3" s="160"/>
    </row>
    <row r="4" spans="2:12" ht="15.75" thickBot="1" x14ac:dyDescent="0.3">
      <c r="B4" s="18"/>
      <c r="C4" s="13"/>
      <c r="D4" s="2"/>
      <c r="E4" s="2"/>
      <c r="F4" s="2"/>
      <c r="G4" s="13" t="s">
        <v>0</v>
      </c>
      <c r="H4" s="2"/>
      <c r="I4" s="2"/>
      <c r="J4" s="2"/>
      <c r="K4" s="2"/>
      <c r="L4" s="19"/>
    </row>
    <row r="5" spans="2:12" ht="15.75" thickBot="1" x14ac:dyDescent="0.3">
      <c r="B5" s="18"/>
      <c r="C5" s="2"/>
      <c r="D5" s="2"/>
      <c r="E5" s="2"/>
      <c r="F5" s="2"/>
      <c r="G5" s="2"/>
      <c r="H5" s="2"/>
      <c r="I5" s="2"/>
      <c r="J5" s="13" t="s">
        <v>1</v>
      </c>
      <c r="K5" s="93">
        <v>1</v>
      </c>
      <c r="L5" s="19"/>
    </row>
    <row r="6" spans="2:12" ht="15.75" thickBot="1" x14ac:dyDescent="0.3">
      <c r="B6" s="18"/>
      <c r="C6" s="2"/>
      <c r="D6" s="2"/>
      <c r="E6" s="2"/>
      <c r="F6" s="2"/>
      <c r="G6" s="2"/>
      <c r="H6" s="2"/>
      <c r="I6" s="2"/>
      <c r="J6" s="2"/>
      <c r="K6" s="2"/>
      <c r="L6" s="19"/>
    </row>
    <row r="7" spans="2:12" ht="15.75" thickBot="1" x14ac:dyDescent="0.3">
      <c r="B7" s="18"/>
      <c r="C7" s="139" t="s">
        <v>107</v>
      </c>
      <c r="D7" s="139"/>
      <c r="E7" s="154"/>
      <c r="F7" s="155"/>
      <c r="G7" s="13"/>
      <c r="H7" s="13" t="s">
        <v>99</v>
      </c>
      <c r="I7" s="154"/>
      <c r="J7" s="155"/>
      <c r="K7" s="13"/>
      <c r="L7" s="19"/>
    </row>
    <row r="8" spans="2:12" ht="15.75" thickBot="1" x14ac:dyDescent="0.3">
      <c r="B8" s="18"/>
      <c r="C8" s="139" t="s">
        <v>80</v>
      </c>
      <c r="D8" s="139"/>
      <c r="E8" s="154"/>
      <c r="F8" s="155"/>
      <c r="G8" s="13"/>
      <c r="H8" s="20" t="s">
        <v>32</v>
      </c>
      <c r="I8" s="154"/>
      <c r="J8" s="155"/>
      <c r="K8" s="13"/>
      <c r="L8" s="19"/>
    </row>
    <row r="9" spans="2:12" ht="15.75" thickBot="1" x14ac:dyDescent="0.3">
      <c r="B9" s="18"/>
      <c r="C9" s="139" t="s">
        <v>138</v>
      </c>
      <c r="D9" s="139"/>
      <c r="E9" s="154"/>
      <c r="F9" s="155"/>
      <c r="G9" s="13"/>
      <c r="H9" s="13" t="s">
        <v>2</v>
      </c>
      <c r="I9" s="13"/>
      <c r="J9" s="13"/>
      <c r="K9" s="13"/>
      <c r="L9" s="19"/>
    </row>
    <row r="10" spans="2:12" ht="15.75" thickBot="1" x14ac:dyDescent="0.3">
      <c r="B10" s="18"/>
      <c r="C10" s="139" t="s">
        <v>81</v>
      </c>
      <c r="D10" s="139"/>
      <c r="E10" s="231"/>
      <c r="F10" s="232"/>
      <c r="G10" s="13"/>
      <c r="H10" s="13" t="s">
        <v>78</v>
      </c>
      <c r="I10" s="93">
        <v>1</v>
      </c>
      <c r="J10" s="13" t="s">
        <v>79</v>
      </c>
      <c r="K10" s="93">
        <v>1</v>
      </c>
      <c r="L10" s="19"/>
    </row>
    <row r="11" spans="2:12" ht="9" customHeight="1" x14ac:dyDescent="0.25">
      <c r="B11" s="18"/>
      <c r="C11" s="2"/>
      <c r="D11" s="2"/>
      <c r="E11" s="1"/>
      <c r="F11" s="1"/>
      <c r="G11" s="2"/>
      <c r="H11" s="2"/>
      <c r="I11" s="2"/>
      <c r="J11" s="2"/>
      <c r="K11" s="2"/>
      <c r="L11" s="19"/>
    </row>
    <row r="12" spans="2:12" ht="7.5" customHeight="1" thickBot="1" x14ac:dyDescent="0.3">
      <c r="B12" s="37"/>
      <c r="C12" s="31"/>
      <c r="D12" s="31"/>
      <c r="E12" s="32"/>
      <c r="F12" s="32"/>
      <c r="G12" s="31"/>
      <c r="H12" s="31"/>
      <c r="I12" s="31"/>
      <c r="J12" s="31"/>
      <c r="K12" s="31"/>
      <c r="L12" s="38"/>
    </row>
    <row r="13" spans="2:12" ht="27" customHeight="1" thickBot="1" x14ac:dyDescent="0.3">
      <c r="B13" s="18"/>
      <c r="C13" s="190" t="s">
        <v>33</v>
      </c>
      <c r="D13" s="230"/>
      <c r="E13" s="154"/>
      <c r="F13" s="155"/>
      <c r="G13" s="13"/>
      <c r="H13" s="96" t="s">
        <v>185</v>
      </c>
      <c r="I13" s="154"/>
      <c r="J13" s="233"/>
      <c r="K13" s="155"/>
      <c r="L13" s="23"/>
    </row>
    <row r="14" spans="2:12" ht="7.5" customHeight="1" x14ac:dyDescent="0.25">
      <c r="B14" s="39"/>
      <c r="C14" s="4"/>
      <c r="D14" s="10"/>
      <c r="E14" s="11"/>
      <c r="F14" s="11"/>
      <c r="G14" s="10"/>
      <c r="H14" s="4"/>
      <c r="I14" s="14"/>
      <c r="J14" s="14"/>
      <c r="K14" s="14"/>
      <c r="L14" s="40"/>
    </row>
    <row r="15" spans="2:12" ht="7.5" customHeight="1" x14ac:dyDescent="0.25">
      <c r="B15" s="18"/>
      <c r="C15" s="5"/>
      <c r="D15" s="2"/>
      <c r="E15" s="1"/>
      <c r="F15" s="1"/>
      <c r="G15" s="2"/>
      <c r="H15" s="5"/>
      <c r="I15" s="3"/>
      <c r="J15" s="3"/>
      <c r="K15" s="3"/>
      <c r="L15" s="23"/>
    </row>
    <row r="16" spans="2:12" x14ac:dyDescent="0.25">
      <c r="B16" s="18"/>
      <c r="C16" s="186" t="s">
        <v>26</v>
      </c>
      <c r="D16" s="186"/>
      <c r="E16" s="186"/>
      <c r="F16" s="186"/>
      <c r="G16" s="186"/>
      <c r="H16" s="186"/>
      <c r="I16" s="186"/>
      <c r="J16" s="186"/>
      <c r="K16" s="186"/>
      <c r="L16" s="25"/>
    </row>
    <row r="17" spans="2:12 16384:16384" x14ac:dyDescent="0.25">
      <c r="B17" s="18"/>
      <c r="C17" s="24"/>
      <c r="D17" s="24"/>
      <c r="E17" s="24"/>
      <c r="F17" s="24"/>
      <c r="G17" s="24"/>
      <c r="H17" s="24"/>
      <c r="I17" s="24"/>
      <c r="J17" s="24"/>
      <c r="K17" s="24"/>
      <c r="L17" s="25"/>
    </row>
    <row r="18" spans="2:12 16384:16384" x14ac:dyDescent="0.25">
      <c r="B18" s="18"/>
      <c r="C18" s="191" t="s">
        <v>113</v>
      </c>
      <c r="D18" s="191"/>
      <c r="E18" s="191"/>
      <c r="F18" s="191"/>
      <c r="G18" s="191"/>
      <c r="H18" s="24"/>
      <c r="I18" s="24"/>
      <c r="J18" s="24"/>
      <c r="K18" s="24"/>
      <c r="L18" s="25"/>
    </row>
    <row r="19" spans="2:12 16384:16384" x14ac:dyDescent="0.25">
      <c r="B19" s="18"/>
      <c r="C19" s="26"/>
      <c r="D19" s="24"/>
      <c r="E19" s="24"/>
      <c r="F19" s="24"/>
      <c r="G19" s="24"/>
      <c r="H19" s="24"/>
      <c r="I19" s="24"/>
      <c r="J19" s="24"/>
      <c r="K19" s="24"/>
      <c r="L19" s="25"/>
    </row>
    <row r="20" spans="2:12 16384:16384" x14ac:dyDescent="0.25">
      <c r="B20" s="18"/>
      <c r="C20" s="13"/>
      <c r="D20" s="13"/>
      <c r="E20" s="13"/>
      <c r="F20" s="13"/>
      <c r="G20" s="13"/>
      <c r="H20" s="184" t="s">
        <v>14</v>
      </c>
      <c r="I20" s="185"/>
      <c r="J20" s="108" t="s">
        <v>9</v>
      </c>
      <c r="K20" s="13"/>
      <c r="L20" s="19"/>
    </row>
    <row r="21" spans="2:12 16384:16384" x14ac:dyDescent="0.25">
      <c r="B21" s="18"/>
      <c r="C21" s="13"/>
      <c r="D21" s="184" t="s">
        <v>4</v>
      </c>
      <c r="E21" s="192"/>
      <c r="F21" s="192"/>
      <c r="G21" s="185"/>
      <c r="H21" s="225"/>
      <c r="I21" s="194"/>
      <c r="J21" s="107">
        <f>SUM('Dom Advance'!G6:G61)</f>
        <v>0</v>
      </c>
      <c r="K21" s="13"/>
      <c r="L21" s="19"/>
    </row>
    <row r="22" spans="2:12 16384:16384" x14ac:dyDescent="0.25">
      <c r="B22" s="18"/>
      <c r="C22" s="13"/>
      <c r="D22" s="7"/>
      <c r="E22" s="7"/>
      <c r="F22" s="7"/>
      <c r="G22" s="13"/>
      <c r="H22" s="13"/>
      <c r="I22" s="13"/>
      <c r="J22" s="13"/>
      <c r="K22" s="13"/>
      <c r="L22" s="19"/>
    </row>
    <row r="23" spans="2:12 16384:16384" x14ac:dyDescent="0.25">
      <c r="B23" s="18"/>
      <c r="C23" s="191" t="s">
        <v>114</v>
      </c>
      <c r="D23" s="191"/>
      <c r="E23" s="191"/>
      <c r="F23" s="191"/>
      <c r="G23" s="191"/>
      <c r="H23" s="13"/>
      <c r="I23" s="13"/>
      <c r="J23" s="13"/>
      <c r="K23" s="13"/>
      <c r="L23" s="19"/>
    </row>
    <row r="24" spans="2:12 16384:16384" x14ac:dyDescent="0.25">
      <c r="B24" s="18"/>
      <c r="C24" s="13"/>
      <c r="D24" s="7"/>
      <c r="E24" s="7"/>
      <c r="F24" s="7"/>
      <c r="G24" s="13"/>
      <c r="H24" s="13"/>
      <c r="I24" s="13"/>
      <c r="J24" s="13"/>
      <c r="K24" s="13"/>
      <c r="L24" s="19"/>
    </row>
    <row r="25" spans="2:12 16384:16384" x14ac:dyDescent="0.25">
      <c r="B25" s="18"/>
      <c r="C25" s="13"/>
      <c r="D25" s="13"/>
      <c r="E25" s="13"/>
      <c r="F25" s="13"/>
      <c r="G25" s="13"/>
      <c r="H25" s="195" t="s">
        <v>14</v>
      </c>
      <c r="I25" s="196"/>
      <c r="J25" s="110" t="s">
        <v>9</v>
      </c>
      <c r="K25" s="13"/>
      <c r="L25" s="19"/>
    </row>
    <row r="26" spans="2:12 16384:16384" x14ac:dyDescent="0.25">
      <c r="B26" s="18"/>
      <c r="C26" s="13"/>
      <c r="D26" s="195" t="s">
        <v>8</v>
      </c>
      <c r="E26" s="200"/>
      <c r="F26" s="200"/>
      <c r="G26" s="196"/>
      <c r="H26" s="197"/>
      <c r="I26" s="198"/>
      <c r="J26" s="109">
        <f>SUM('Dom Expense'!G6:G61)</f>
        <v>0</v>
      </c>
      <c r="K26" s="13"/>
      <c r="L26" s="19"/>
    </row>
    <row r="27" spans="2:12 16384:16384" x14ac:dyDescent="0.25">
      <c r="B27" s="18"/>
      <c r="C27" s="13"/>
      <c r="D27" s="33"/>
      <c r="E27" s="33"/>
      <c r="F27" s="33"/>
      <c r="G27" s="33"/>
      <c r="H27" s="9"/>
      <c r="I27" s="9"/>
      <c r="J27" s="13"/>
      <c r="K27" s="13"/>
      <c r="L27" s="19"/>
    </row>
    <row r="28" spans="2:12 16384:16384" x14ac:dyDescent="0.25">
      <c r="B28" s="18"/>
      <c r="C28" s="191" t="s">
        <v>90</v>
      </c>
      <c r="D28" s="191"/>
      <c r="E28" s="191"/>
      <c r="F28" s="191"/>
      <c r="G28" s="191"/>
      <c r="H28" s="13"/>
      <c r="I28" s="13"/>
      <c r="J28" s="13"/>
      <c r="K28" s="13"/>
      <c r="L28" s="19"/>
    </row>
    <row r="29" spans="2:12 16384:16384" x14ac:dyDescent="0.25">
      <c r="B29" s="18"/>
      <c r="C29" s="26"/>
      <c r="I29" s="13"/>
      <c r="J29" s="13"/>
      <c r="K29" s="13"/>
      <c r="L29" s="19"/>
    </row>
    <row r="30" spans="2:12 16384:16384" x14ac:dyDescent="0.25">
      <c r="B30" s="18"/>
      <c r="C30" s="26"/>
      <c r="D30" s="223" t="s">
        <v>97</v>
      </c>
      <c r="E30" s="223"/>
      <c r="F30" s="223"/>
      <c r="G30" s="223"/>
      <c r="H30" s="229"/>
      <c r="I30" s="229"/>
      <c r="J30" s="229"/>
      <c r="K30" s="13"/>
      <c r="L30" s="19"/>
    </row>
    <row r="31" spans="2:12 16384:16384" hidden="1" x14ac:dyDescent="0.25">
      <c r="B31" s="18"/>
      <c r="C31" s="26"/>
      <c r="D31" s="9"/>
      <c r="E31" s="9"/>
      <c r="F31" s="9"/>
      <c r="G31" s="9"/>
      <c r="H31" s="9"/>
      <c r="I31" s="9"/>
      <c r="J31" s="9"/>
      <c r="K31" s="13"/>
      <c r="L31" s="19"/>
      <c r="XFD31" s="9"/>
    </row>
    <row r="32" spans="2:12 16384:16384" hidden="1" x14ac:dyDescent="0.25">
      <c r="B32" s="18"/>
      <c r="C32" s="26"/>
      <c r="D32" s="145" t="s">
        <v>92</v>
      </c>
      <c r="E32" s="228"/>
      <c r="F32" s="228"/>
      <c r="G32" s="146"/>
      <c r="H32" s="12" t="s">
        <v>95</v>
      </c>
      <c r="I32" s="12" t="s">
        <v>96</v>
      </c>
      <c r="J32" s="12" t="s">
        <v>36</v>
      </c>
      <c r="K32" s="13"/>
      <c r="L32" s="19"/>
    </row>
    <row r="33" spans="2:12" hidden="1" x14ac:dyDescent="0.25">
      <c r="B33" s="18"/>
      <c r="C33" s="26"/>
      <c r="D33" s="220" t="s">
        <v>93</v>
      </c>
      <c r="E33" s="221"/>
      <c r="F33" s="221"/>
      <c r="G33" s="222"/>
      <c r="H33" s="87"/>
      <c r="I33" s="87" t="str">
        <f>IF(LEN(H30)&gt;0,0.2*H30,"")</f>
        <v/>
      </c>
      <c r="J33" s="87" t="str">
        <f>IF(LEN(H33)&gt;0,H33*I33,"")</f>
        <v/>
      </c>
      <c r="K33" s="13"/>
      <c r="L33" s="19"/>
    </row>
    <row r="34" spans="2:12" hidden="1" x14ac:dyDescent="0.25">
      <c r="B34" s="18"/>
      <c r="C34" s="26"/>
      <c r="D34" s="220" t="s">
        <v>94</v>
      </c>
      <c r="E34" s="221"/>
      <c r="F34" s="221"/>
      <c r="G34" s="222"/>
      <c r="H34" s="87"/>
      <c r="I34" s="87" t="str">
        <f>IF(LEN(H30)&gt;0,0.4*H30,"")</f>
        <v/>
      </c>
      <c r="J34" s="87" t="str">
        <f>IF(LEN(H34)&gt;0,H34*I34,"")</f>
        <v/>
      </c>
      <c r="K34" s="13"/>
      <c r="L34" s="19"/>
    </row>
    <row r="35" spans="2:12" x14ac:dyDescent="0.25">
      <c r="B35" s="18"/>
      <c r="C35" s="13"/>
      <c r="D35" s="7"/>
      <c r="E35" s="7"/>
      <c r="F35" s="7"/>
      <c r="G35" s="13"/>
      <c r="H35" s="13"/>
      <c r="I35" s="13"/>
      <c r="J35" s="13"/>
      <c r="K35" s="13"/>
      <c r="L35" s="19"/>
    </row>
    <row r="36" spans="2:12" x14ac:dyDescent="0.25">
      <c r="B36" s="18"/>
      <c r="C36" s="13"/>
      <c r="D36" s="13"/>
      <c r="E36" s="13"/>
      <c r="F36" s="13"/>
      <c r="G36" s="13"/>
      <c r="H36" s="210" t="s">
        <v>14</v>
      </c>
      <c r="I36" s="211"/>
      <c r="J36" s="114" t="s">
        <v>9</v>
      </c>
      <c r="K36" s="13"/>
      <c r="L36" s="19"/>
    </row>
    <row r="37" spans="2:12" x14ac:dyDescent="0.25">
      <c r="B37" s="18"/>
      <c r="C37" s="13"/>
      <c r="D37" s="210" t="s">
        <v>91</v>
      </c>
      <c r="E37" s="212"/>
      <c r="F37" s="212"/>
      <c r="G37" s="211"/>
      <c r="H37" s="226"/>
      <c r="I37" s="227"/>
      <c r="J37" s="113">
        <v>0</v>
      </c>
      <c r="K37" s="13"/>
      <c r="L37" s="19"/>
    </row>
    <row r="38" spans="2:12" x14ac:dyDescent="0.25">
      <c r="B38" s="18"/>
      <c r="C38" s="13"/>
      <c r="D38" s="33"/>
      <c r="E38" s="33"/>
      <c r="F38" s="33"/>
      <c r="G38" s="33"/>
      <c r="H38" s="13"/>
      <c r="I38" s="13"/>
      <c r="J38" s="13"/>
      <c r="K38" s="13"/>
      <c r="L38" s="19"/>
    </row>
    <row r="39" spans="2:12" x14ac:dyDescent="0.25">
      <c r="B39" s="37"/>
      <c r="C39" s="41" t="s">
        <v>70</v>
      </c>
      <c r="D39" s="42"/>
      <c r="E39" s="42"/>
      <c r="F39" s="42"/>
      <c r="G39" s="42"/>
      <c r="H39" s="31"/>
      <c r="I39" s="31"/>
      <c r="J39" s="31"/>
      <c r="K39" s="31"/>
      <c r="L39" s="38"/>
    </row>
    <row r="40" spans="2:12" x14ac:dyDescent="0.25">
      <c r="B40" s="18"/>
      <c r="C40" s="2"/>
      <c r="D40" s="2"/>
      <c r="E40" s="2"/>
      <c r="F40" s="2"/>
      <c r="G40" s="2"/>
      <c r="H40" s="172" t="s">
        <v>14</v>
      </c>
      <c r="I40" s="174"/>
      <c r="J40" s="112" t="s">
        <v>9</v>
      </c>
      <c r="K40" s="2"/>
      <c r="L40" s="19"/>
    </row>
    <row r="41" spans="2:12" x14ac:dyDescent="0.25">
      <c r="B41" s="18"/>
      <c r="C41" s="13"/>
      <c r="D41" s="199" t="s">
        <v>10</v>
      </c>
      <c r="E41" s="199"/>
      <c r="F41" s="199"/>
      <c r="G41" s="199"/>
      <c r="H41" s="169" t="str">
        <f>IF(LEN(H21)&gt;0,H21,"")</f>
        <v/>
      </c>
      <c r="I41" s="170"/>
      <c r="J41" s="111">
        <f>IF(LEN(J21)&gt;0,J21,"")</f>
        <v>0</v>
      </c>
      <c r="K41" s="13"/>
      <c r="L41" s="19"/>
    </row>
    <row r="42" spans="2:12" x14ac:dyDescent="0.25">
      <c r="B42" s="18"/>
      <c r="C42" s="13"/>
      <c r="D42" s="199" t="s">
        <v>11</v>
      </c>
      <c r="E42" s="199"/>
      <c r="F42" s="199"/>
      <c r="G42" s="199"/>
      <c r="H42" s="169" t="str">
        <f>IF(LEN(H26)&gt;0,H26,"")</f>
        <v/>
      </c>
      <c r="I42" s="170"/>
      <c r="J42" s="111">
        <f>IF(LEN(J26)&gt;0,J26,"")</f>
        <v>0</v>
      </c>
      <c r="K42" s="13"/>
      <c r="L42" s="19"/>
    </row>
    <row r="43" spans="2:12" x14ac:dyDescent="0.25">
      <c r="B43" s="18"/>
      <c r="C43" s="13"/>
      <c r="D43" s="199" t="str">
        <f>IF(J41&gt;J42,"Total Payable by Employee (A) - (B) + (C)","Total Payable by HSDI (A) - (B) + (C)")</f>
        <v>Total Payable by HSDI (A) - (B) + (C)</v>
      </c>
      <c r="E43" s="199"/>
      <c r="F43" s="199"/>
      <c r="G43" s="199"/>
      <c r="H43" s="169" t="str">
        <f>IF(H41=H42,H41,"Adv. &amp; Exp. Currency don't match")</f>
        <v/>
      </c>
      <c r="I43" s="170"/>
      <c r="J43" s="111">
        <f>IF(AND(LEN(J41)&gt;0,LEN(J42)&gt;0),IF(I43&lt;&gt;"Please enter a currency",ABS(J41-J42+J37),"Please enter the amount"),"")</f>
        <v>0</v>
      </c>
      <c r="K43" s="13"/>
      <c r="L43" s="19"/>
    </row>
    <row r="44" spans="2:12" x14ac:dyDescent="0.25">
      <c r="B44" s="39"/>
      <c r="C44" s="10"/>
      <c r="D44" s="10"/>
      <c r="E44" s="10"/>
      <c r="F44" s="10"/>
      <c r="G44" s="10"/>
      <c r="H44" s="10"/>
      <c r="I44" s="10"/>
      <c r="J44" s="10"/>
      <c r="K44" s="10"/>
      <c r="L44" s="22"/>
    </row>
    <row r="45" spans="2:12" x14ac:dyDescent="0.25">
      <c r="B45" s="18"/>
      <c r="C45" s="190" t="s">
        <v>18</v>
      </c>
      <c r="D45" s="190"/>
      <c r="E45" s="13"/>
      <c r="F45" s="13"/>
      <c r="G45" s="13"/>
      <c r="H45" s="13"/>
      <c r="I45" s="13"/>
      <c r="J45" s="13"/>
      <c r="K45" s="13"/>
      <c r="L45" s="19"/>
    </row>
    <row r="46" spans="2:12" ht="16.5" customHeight="1" x14ac:dyDescent="0.25">
      <c r="B46" s="18"/>
      <c r="C46" s="13"/>
      <c r="D46" s="224" t="s">
        <v>86</v>
      </c>
      <c r="E46" s="224"/>
      <c r="F46" s="224"/>
      <c r="G46" s="224"/>
      <c r="H46" s="224"/>
      <c r="I46" s="224"/>
      <c r="J46" s="224"/>
      <c r="K46" s="224"/>
      <c r="L46" s="19"/>
    </row>
    <row r="47" spans="2:12" ht="16.5" customHeight="1" x14ac:dyDescent="0.25">
      <c r="B47" s="18"/>
      <c r="C47" s="13"/>
      <c r="D47" s="34"/>
      <c r="E47" s="34"/>
      <c r="F47" s="34"/>
      <c r="G47" s="34"/>
      <c r="H47" s="34"/>
      <c r="I47" s="34"/>
      <c r="J47" s="34"/>
      <c r="K47" s="34"/>
      <c r="L47" s="19"/>
    </row>
    <row r="48" spans="2:12" ht="35.25" customHeight="1" x14ac:dyDescent="0.25">
      <c r="B48" s="18"/>
      <c r="C48" s="13"/>
      <c r="D48" s="13"/>
      <c r="E48" s="13"/>
      <c r="F48" s="13"/>
      <c r="G48" s="13"/>
      <c r="H48" s="13"/>
      <c r="I48" s="13"/>
      <c r="J48" s="13"/>
      <c r="K48" s="13"/>
      <c r="L48" s="19"/>
    </row>
    <row r="49" spans="2:12" x14ac:dyDescent="0.25">
      <c r="B49" s="18"/>
      <c r="C49" s="13"/>
      <c r="D49" s="13"/>
      <c r="E49" s="13"/>
      <c r="H49" s="13"/>
      <c r="I49" s="10"/>
      <c r="J49" s="10"/>
      <c r="L49" s="19"/>
    </row>
    <row r="50" spans="2:12" x14ac:dyDescent="0.25">
      <c r="B50" s="18"/>
      <c r="C50" s="43" t="s">
        <v>29</v>
      </c>
      <c r="D50" s="43"/>
      <c r="E50" s="43"/>
      <c r="H50" s="8"/>
      <c r="I50" s="8" t="s">
        <v>20</v>
      </c>
      <c r="J50" s="8"/>
      <c r="L50" s="19"/>
    </row>
    <row r="51" spans="2:12" x14ac:dyDescent="0.25">
      <c r="B51" s="18"/>
      <c r="C51" s="13" t="s">
        <v>186</v>
      </c>
      <c r="D51" s="13"/>
      <c r="E51" s="13" t="str">
        <f>IF(LEN(E7)&gt;0,E7,"")</f>
        <v/>
      </c>
      <c r="H51" s="13"/>
      <c r="I51" s="13" t="s">
        <v>187</v>
      </c>
      <c r="J51" s="13"/>
      <c r="L51" s="19"/>
    </row>
    <row r="52" spans="2:12" x14ac:dyDescent="0.25">
      <c r="B52" s="18"/>
      <c r="C52" s="13" t="s">
        <v>19</v>
      </c>
      <c r="D52" s="13"/>
      <c r="E52" s="13"/>
      <c r="F52" s="13"/>
      <c r="G52" s="13"/>
      <c r="H52" s="13"/>
      <c r="I52" s="13" t="s">
        <v>19</v>
      </c>
      <c r="J52" s="13"/>
      <c r="K52" s="13"/>
      <c r="L52" s="19"/>
    </row>
    <row r="53" spans="2:12" ht="35.25" customHeight="1" x14ac:dyDescent="0.25">
      <c r="B53" s="18"/>
      <c r="C53" s="13"/>
      <c r="D53" s="13"/>
      <c r="E53" s="13"/>
      <c r="F53" s="13"/>
      <c r="G53" s="13"/>
      <c r="H53" s="13"/>
      <c r="I53" s="13"/>
      <c r="J53" s="13"/>
      <c r="K53" s="13"/>
      <c r="L53" s="19"/>
    </row>
    <row r="54" spans="2:12" x14ac:dyDescent="0.25">
      <c r="B54" s="18"/>
      <c r="C54" s="13"/>
      <c r="D54" s="13"/>
      <c r="E54" s="13"/>
      <c r="F54" s="13"/>
      <c r="G54" s="13"/>
      <c r="H54" s="13"/>
      <c r="I54" s="10"/>
      <c r="J54" s="10"/>
      <c r="K54" s="13"/>
      <c r="L54" s="19"/>
    </row>
    <row r="55" spans="2:12" x14ac:dyDescent="0.25">
      <c r="B55" s="18"/>
      <c r="C55" s="43" t="s">
        <v>21</v>
      </c>
      <c r="D55" s="43"/>
      <c r="E55" s="43"/>
      <c r="F55" s="13"/>
      <c r="G55" s="13"/>
      <c r="H55" s="13"/>
      <c r="I55" s="8" t="s">
        <v>118</v>
      </c>
      <c r="J55" s="8"/>
      <c r="K55" s="8"/>
      <c r="L55" s="19"/>
    </row>
    <row r="56" spans="2:12" x14ac:dyDescent="0.25">
      <c r="B56" s="18"/>
      <c r="C56" s="13" t="s">
        <v>19</v>
      </c>
      <c r="D56" s="13"/>
      <c r="E56" s="13"/>
      <c r="F56" s="13"/>
      <c r="G56" s="13"/>
      <c r="H56" s="13"/>
      <c r="I56" s="139" t="s">
        <v>19</v>
      </c>
      <c r="J56" s="139"/>
      <c r="K56" s="139"/>
      <c r="L56" s="19"/>
    </row>
    <row r="57" spans="2:12" x14ac:dyDescent="0.25">
      <c r="B57" s="18"/>
      <c r="C57" s="13"/>
      <c r="D57" s="13"/>
      <c r="E57" s="13"/>
      <c r="F57" s="13"/>
      <c r="G57" s="13"/>
      <c r="H57" s="13"/>
      <c r="I57" s="13"/>
      <c r="J57" s="13"/>
      <c r="K57" s="13"/>
      <c r="L57" s="19"/>
    </row>
    <row r="58" spans="2:12" x14ac:dyDescent="0.25">
      <c r="B58" s="37"/>
      <c r="C58" s="41" t="s">
        <v>31</v>
      </c>
      <c r="D58" s="31"/>
      <c r="E58" s="31"/>
      <c r="F58" s="31"/>
      <c r="G58" s="31"/>
      <c r="H58" s="31"/>
      <c r="I58" s="31"/>
      <c r="J58" s="31"/>
      <c r="K58" s="31"/>
      <c r="L58" s="38"/>
    </row>
    <row r="59" spans="2:12" x14ac:dyDescent="0.25">
      <c r="B59" s="18"/>
      <c r="C59" s="12">
        <v>1</v>
      </c>
      <c r="D59" s="137" t="s">
        <v>60</v>
      </c>
      <c r="E59" s="137"/>
      <c r="F59" s="12" t="str">
        <f>IF(IFERROR(VLOOKUP("Hotel Costs",'Dom Expense'!B6:C61,1,FALSE),"Not Required")="Not Required","Not Required","Required")</f>
        <v>Not Required</v>
      </c>
      <c r="G59" s="13"/>
      <c r="H59" s="13"/>
      <c r="I59" s="13"/>
      <c r="J59" s="13"/>
      <c r="K59" s="13"/>
      <c r="L59" s="19"/>
    </row>
    <row r="60" spans="2:12" x14ac:dyDescent="0.25">
      <c r="B60" s="18"/>
      <c r="C60" s="12">
        <v>2</v>
      </c>
      <c r="D60" s="137" t="s">
        <v>61</v>
      </c>
      <c r="E60" s="138"/>
      <c r="F60" s="12" t="str">
        <f>IF(IFERROR(VLOOKUP("Car / Taxi / Train Fare",'Dom Expense'!B6:C61,1,FALSE),"Not Required")="Not Required","Not Required","Required")</f>
        <v>Not Required</v>
      </c>
      <c r="G60" s="13"/>
      <c r="H60" s="13"/>
      <c r="I60" s="13"/>
      <c r="J60" s="13"/>
      <c r="K60" s="13"/>
      <c r="L60" s="19"/>
    </row>
    <row r="61" spans="2:12" x14ac:dyDescent="0.25">
      <c r="B61" s="18"/>
      <c r="C61" s="12">
        <v>3</v>
      </c>
      <c r="D61" s="137" t="s">
        <v>72</v>
      </c>
      <c r="E61" s="138"/>
      <c r="F61" s="12" t="str">
        <f>IF(IFERROR(VLOOKUP("Miscellaneous",'Dom Expense'!B6:C61,1,FALSE),"Not Required")="Not Required","Not Required","Required")</f>
        <v>Not Required</v>
      </c>
      <c r="G61" s="13"/>
      <c r="H61" s="13"/>
      <c r="I61" s="13"/>
      <c r="J61" s="13"/>
      <c r="K61" s="13"/>
      <c r="L61" s="19"/>
    </row>
    <row r="62" spans="2:12" ht="25.5" customHeight="1" x14ac:dyDescent="0.25">
      <c r="B62" s="18"/>
      <c r="C62" s="13"/>
      <c r="D62" s="13"/>
      <c r="E62" s="13"/>
      <c r="F62" s="13"/>
      <c r="G62" s="13"/>
      <c r="H62" s="13"/>
      <c r="I62" s="13"/>
      <c r="J62" s="13"/>
      <c r="K62" s="13"/>
      <c r="L62" s="19"/>
    </row>
    <row r="63" spans="2:12" x14ac:dyDescent="0.25">
      <c r="B63" s="18"/>
      <c r="C63" s="5" t="s">
        <v>22</v>
      </c>
      <c r="D63" s="13"/>
      <c r="E63" s="13"/>
      <c r="F63" s="13"/>
      <c r="G63" s="13"/>
      <c r="H63" s="13"/>
      <c r="I63" s="13"/>
      <c r="J63" s="13"/>
      <c r="K63" s="13"/>
      <c r="L63" s="19"/>
    </row>
    <row r="64" spans="2:12" x14ac:dyDescent="0.25">
      <c r="B64" s="18"/>
      <c r="C64" s="80">
        <v>1</v>
      </c>
      <c r="D64" s="216" t="s">
        <v>142</v>
      </c>
      <c r="E64" s="217"/>
      <c r="F64" s="217"/>
      <c r="G64" s="217"/>
      <c r="H64" s="217"/>
      <c r="I64" s="217"/>
      <c r="J64" s="217"/>
      <c r="K64" s="217"/>
      <c r="L64" s="19"/>
    </row>
    <row r="65" spans="2:12" ht="33.75" customHeight="1" x14ac:dyDescent="0.25">
      <c r="B65" s="18"/>
      <c r="C65" s="80">
        <v>2</v>
      </c>
      <c r="D65" s="218" t="s">
        <v>143</v>
      </c>
      <c r="E65" s="219"/>
      <c r="F65" s="219"/>
      <c r="G65" s="219"/>
      <c r="H65" s="219"/>
      <c r="I65" s="219"/>
      <c r="J65" s="219"/>
      <c r="K65" s="219"/>
      <c r="L65" s="19"/>
    </row>
    <row r="66" spans="2:12" ht="27" customHeight="1" x14ac:dyDescent="0.25">
      <c r="B66" s="18"/>
      <c r="C66" s="13"/>
      <c r="D66" s="65"/>
      <c r="E66" s="65"/>
      <c r="F66" s="65"/>
      <c r="G66" s="65"/>
      <c r="H66" s="65"/>
      <c r="I66" s="65"/>
      <c r="J66" s="65"/>
      <c r="K66" s="65"/>
      <c r="L66" s="19"/>
    </row>
    <row r="67" spans="2:12" ht="9" customHeight="1" thickBot="1" x14ac:dyDescent="0.3">
      <c r="B67" s="28"/>
      <c r="C67" s="46" t="s">
        <v>23</v>
      </c>
      <c r="D67" s="45"/>
      <c r="E67" s="45"/>
      <c r="F67" s="45"/>
      <c r="G67" s="45"/>
      <c r="H67" s="44"/>
      <c r="I67" s="44"/>
      <c r="J67" s="44"/>
      <c r="K67" s="44"/>
      <c r="L67" s="30"/>
    </row>
    <row r="68" spans="2:12" hidden="1" x14ac:dyDescent="0.25">
      <c r="B68" s="15"/>
      <c r="C68" s="62"/>
      <c r="D68" s="62"/>
      <c r="E68" s="62"/>
      <c r="F68" s="62"/>
      <c r="G68" s="62"/>
      <c r="H68" s="62"/>
      <c r="I68" s="62"/>
      <c r="J68" s="62"/>
      <c r="K68" s="62"/>
      <c r="L68" s="17"/>
    </row>
    <row r="69" spans="2:12" x14ac:dyDescent="0.25">
      <c r="B69" s="18"/>
      <c r="C69" s="147" t="s">
        <v>88</v>
      </c>
      <c r="D69" s="147"/>
      <c r="E69" s="147"/>
      <c r="F69" s="147"/>
      <c r="G69" s="147"/>
      <c r="H69" s="147"/>
      <c r="I69" s="147"/>
      <c r="J69" s="147"/>
      <c r="K69" s="147"/>
      <c r="L69" s="19"/>
    </row>
    <row r="70" spans="2:12" ht="15" customHeight="1" x14ac:dyDescent="0.25">
      <c r="B70" s="18"/>
      <c r="C70" s="27" t="s">
        <v>77</v>
      </c>
      <c r="D70" s="2"/>
      <c r="E70" s="2"/>
      <c r="F70" s="2"/>
      <c r="G70" s="2"/>
      <c r="H70" s="2"/>
      <c r="I70" s="2"/>
      <c r="J70" s="2"/>
      <c r="K70" s="2"/>
      <c r="L70" s="19"/>
    </row>
    <row r="71" spans="2:12" ht="15" customHeight="1" x14ac:dyDescent="0.25">
      <c r="B71" s="18"/>
      <c r="C71" s="27"/>
      <c r="D71" s="2"/>
      <c r="E71" s="2"/>
      <c r="F71" s="2"/>
      <c r="G71" s="2"/>
      <c r="H71" s="2"/>
      <c r="I71" s="2"/>
      <c r="J71" s="2"/>
      <c r="K71" s="2"/>
      <c r="L71" s="19"/>
    </row>
    <row r="72" spans="2:12" x14ac:dyDescent="0.25">
      <c r="B72" s="18"/>
      <c r="C72" s="2"/>
      <c r="D72" s="6" t="s">
        <v>12</v>
      </c>
      <c r="E72" s="151" t="s">
        <v>13</v>
      </c>
      <c r="F72" s="152"/>
      <c r="G72" s="153"/>
      <c r="H72" s="145" t="s">
        <v>14</v>
      </c>
      <c r="I72" s="146"/>
      <c r="J72" s="50" t="s">
        <v>9</v>
      </c>
      <c r="K72" s="2"/>
      <c r="L72" s="19"/>
    </row>
    <row r="73" spans="2:12" x14ac:dyDescent="0.25">
      <c r="B73" s="18"/>
      <c r="C73" s="2"/>
      <c r="D73" s="89">
        <v>1</v>
      </c>
      <c r="E73" s="213"/>
      <c r="F73" s="214"/>
      <c r="G73" s="215"/>
      <c r="H73" s="140" t="s">
        <v>58</v>
      </c>
      <c r="I73" s="141"/>
      <c r="J73" s="87"/>
      <c r="K73" s="2"/>
      <c r="L73" s="19"/>
    </row>
    <row r="74" spans="2:12" x14ac:dyDescent="0.25">
      <c r="B74" s="18"/>
      <c r="C74" s="2"/>
      <c r="D74" s="89">
        <v>2</v>
      </c>
      <c r="E74" s="213"/>
      <c r="F74" s="214"/>
      <c r="G74" s="215"/>
      <c r="H74" s="140" t="s">
        <v>58</v>
      </c>
      <c r="I74" s="141"/>
      <c r="J74" s="87"/>
      <c r="K74" s="2"/>
      <c r="L74" s="19"/>
    </row>
    <row r="75" spans="2:12" x14ac:dyDescent="0.25">
      <c r="B75" s="18"/>
      <c r="C75" s="2"/>
      <c r="D75" s="13"/>
      <c r="E75" s="13"/>
      <c r="F75" s="13"/>
      <c r="G75" s="13"/>
      <c r="H75" s="13"/>
      <c r="I75" s="13"/>
      <c r="J75" s="2"/>
      <c r="K75" s="2"/>
      <c r="L75" s="19"/>
    </row>
    <row r="76" spans="2:12" hidden="1" x14ac:dyDescent="0.25">
      <c r="B76" s="18"/>
      <c r="K76" s="13"/>
      <c r="L76" s="19"/>
    </row>
    <row r="77" spans="2:12" ht="15" hidden="1" customHeight="1" x14ac:dyDescent="0.25">
      <c r="B77" s="18"/>
      <c r="K77" s="2"/>
      <c r="L77" s="19"/>
    </row>
    <row r="78" spans="2:12" ht="15" hidden="1" customHeight="1" x14ac:dyDescent="0.25">
      <c r="B78" s="18"/>
      <c r="K78" s="2"/>
      <c r="L78" s="19"/>
    </row>
    <row r="79" spans="2:12" hidden="1" x14ac:dyDescent="0.25">
      <c r="B79" s="18"/>
      <c r="K79" s="2"/>
      <c r="L79" s="19"/>
    </row>
    <row r="80" spans="2:12" hidden="1" x14ac:dyDescent="0.25">
      <c r="B80" s="18"/>
      <c r="K80" s="2"/>
      <c r="L80" s="19"/>
    </row>
    <row r="81" spans="2:12" hidden="1" x14ac:dyDescent="0.25">
      <c r="B81" s="18"/>
      <c r="K81" s="2"/>
      <c r="L81" s="19"/>
    </row>
    <row r="82" spans="2:12" hidden="1" x14ac:dyDescent="0.25">
      <c r="B82" s="18"/>
      <c r="K82" s="2"/>
      <c r="L82" s="19"/>
    </row>
    <row r="83" spans="2:12" hidden="1" x14ac:dyDescent="0.25">
      <c r="B83" s="18"/>
      <c r="K83" s="2"/>
      <c r="L83" s="19"/>
    </row>
    <row r="84" spans="2:12" hidden="1" x14ac:dyDescent="0.25">
      <c r="B84" s="18"/>
      <c r="K84" s="2"/>
      <c r="L84" s="19"/>
    </row>
    <row r="85" spans="2:12" hidden="1" x14ac:dyDescent="0.25">
      <c r="B85" s="18"/>
      <c r="K85" s="2"/>
      <c r="L85" s="19"/>
    </row>
    <row r="86" spans="2:12" hidden="1" x14ac:dyDescent="0.25">
      <c r="B86" s="18"/>
      <c r="K86" s="2"/>
      <c r="L86" s="19"/>
    </row>
    <row r="87" spans="2:12" hidden="1" x14ac:dyDescent="0.25">
      <c r="B87" s="18"/>
      <c r="K87" s="2"/>
      <c r="L87" s="19"/>
    </row>
    <row r="88" spans="2:12" hidden="1" x14ac:dyDescent="0.25">
      <c r="B88" s="18"/>
      <c r="K88" s="2"/>
      <c r="L88" s="19"/>
    </row>
    <row r="89" spans="2:12" hidden="1" x14ac:dyDescent="0.25">
      <c r="B89" s="18"/>
      <c r="K89" s="2"/>
      <c r="L89" s="19"/>
    </row>
    <row r="90" spans="2:12" hidden="1" x14ac:dyDescent="0.25">
      <c r="B90" s="18"/>
      <c r="K90" s="2"/>
      <c r="L90" s="19"/>
    </row>
    <row r="91" spans="2:12" hidden="1" x14ac:dyDescent="0.25">
      <c r="B91" s="18"/>
      <c r="K91" s="2"/>
      <c r="L91" s="19"/>
    </row>
    <row r="92" spans="2:12" hidden="1" x14ac:dyDescent="0.25">
      <c r="B92" s="18"/>
      <c r="K92" s="2"/>
      <c r="L92" s="19"/>
    </row>
    <row r="93" spans="2:12" hidden="1" x14ac:dyDescent="0.25">
      <c r="B93" s="18"/>
      <c r="K93" s="2"/>
      <c r="L93" s="19"/>
    </row>
    <row r="94" spans="2:12" hidden="1" x14ac:dyDescent="0.25">
      <c r="B94" s="18"/>
      <c r="K94" s="2"/>
      <c r="L94" s="19"/>
    </row>
    <row r="95" spans="2:12" hidden="1" x14ac:dyDescent="0.25">
      <c r="B95" s="18"/>
      <c r="K95" s="2"/>
      <c r="L95" s="19"/>
    </row>
    <row r="96" spans="2:12" hidden="1" x14ac:dyDescent="0.25">
      <c r="B96" s="18"/>
      <c r="K96" s="2"/>
      <c r="L96" s="19"/>
    </row>
    <row r="97" spans="2:12" hidden="1" x14ac:dyDescent="0.25">
      <c r="B97" s="18"/>
      <c r="K97" s="2"/>
      <c r="L97" s="19"/>
    </row>
    <row r="98" spans="2:12" hidden="1" x14ac:dyDescent="0.25">
      <c r="B98" s="18"/>
      <c r="K98" s="2"/>
      <c r="L98" s="19"/>
    </row>
    <row r="99" spans="2:12" hidden="1" x14ac:dyDescent="0.25">
      <c r="B99" s="18"/>
      <c r="K99" s="2"/>
      <c r="L99" s="19"/>
    </row>
    <row r="100" spans="2:12" hidden="1" x14ac:dyDescent="0.25">
      <c r="B100" s="18"/>
      <c r="K100" s="2"/>
      <c r="L100" s="19"/>
    </row>
    <row r="101" spans="2:12" hidden="1" x14ac:dyDescent="0.25">
      <c r="B101" s="18"/>
      <c r="K101" s="2"/>
      <c r="L101" s="19"/>
    </row>
    <row r="102" spans="2:12" hidden="1" x14ac:dyDescent="0.25">
      <c r="B102" s="18"/>
      <c r="K102" s="2"/>
      <c r="L102" s="19"/>
    </row>
    <row r="103" spans="2:12" hidden="1" x14ac:dyDescent="0.25">
      <c r="B103" s="18"/>
      <c r="K103" s="2"/>
      <c r="L103" s="19"/>
    </row>
    <row r="104" spans="2:12" hidden="1" x14ac:dyDescent="0.25">
      <c r="B104" s="18"/>
      <c r="K104" s="2"/>
      <c r="L104" s="19"/>
    </row>
    <row r="105" spans="2:12" hidden="1" x14ac:dyDescent="0.25">
      <c r="B105" s="18"/>
      <c r="K105" s="2"/>
      <c r="L105" s="19"/>
    </row>
    <row r="106" spans="2:12" hidden="1" x14ac:dyDescent="0.25">
      <c r="B106" s="18"/>
      <c r="K106" s="2"/>
      <c r="L106" s="19"/>
    </row>
    <row r="107" spans="2:12" hidden="1" x14ac:dyDescent="0.25">
      <c r="B107" s="18"/>
      <c r="K107" s="2"/>
      <c r="L107" s="19"/>
    </row>
    <row r="108" spans="2:12" hidden="1" x14ac:dyDescent="0.25">
      <c r="B108" s="18"/>
      <c r="K108" s="2"/>
      <c r="L108" s="19"/>
    </row>
    <row r="109" spans="2:12" hidden="1" x14ac:dyDescent="0.25">
      <c r="B109" s="18"/>
      <c r="K109" s="2"/>
      <c r="L109" s="19"/>
    </row>
    <row r="110" spans="2:12" hidden="1" x14ac:dyDescent="0.25">
      <c r="B110" s="18"/>
      <c r="K110" s="2"/>
      <c r="L110" s="19"/>
    </row>
    <row r="111" spans="2:12" hidden="1" x14ac:dyDescent="0.25">
      <c r="B111" s="18"/>
      <c r="K111" s="2"/>
      <c r="L111" s="19"/>
    </row>
    <row r="112" spans="2:12" hidden="1" x14ac:dyDescent="0.25">
      <c r="B112" s="18"/>
      <c r="K112" s="2"/>
      <c r="L112" s="19"/>
    </row>
    <row r="113" spans="2:12" hidden="1" x14ac:dyDescent="0.25">
      <c r="B113" s="18"/>
      <c r="K113" s="2"/>
      <c r="L113" s="19"/>
    </row>
    <row r="114" spans="2:12" hidden="1" x14ac:dyDescent="0.25">
      <c r="B114" s="18"/>
      <c r="K114" s="2"/>
      <c r="L114" s="19"/>
    </row>
    <row r="115" spans="2:12" hidden="1" x14ac:dyDescent="0.25">
      <c r="B115" s="18"/>
      <c r="K115" s="2"/>
      <c r="L115" s="19"/>
    </row>
    <row r="116" spans="2:12" hidden="1" x14ac:dyDescent="0.25">
      <c r="B116" s="18"/>
      <c r="K116" s="2"/>
      <c r="L116" s="19"/>
    </row>
    <row r="117" spans="2:12" hidden="1" x14ac:dyDescent="0.25">
      <c r="B117" s="18"/>
      <c r="K117" s="2"/>
      <c r="L117" s="19"/>
    </row>
    <row r="118" spans="2:12" hidden="1" x14ac:dyDescent="0.25">
      <c r="B118" s="18"/>
      <c r="K118" s="2"/>
      <c r="L118" s="19"/>
    </row>
    <row r="119" spans="2:12" hidden="1" x14ac:dyDescent="0.25">
      <c r="B119" s="18"/>
      <c r="K119" s="2"/>
      <c r="L119" s="19"/>
    </row>
    <row r="120" spans="2:12" hidden="1" x14ac:dyDescent="0.25">
      <c r="B120" s="18"/>
      <c r="K120" s="2"/>
      <c r="L120" s="19"/>
    </row>
    <row r="121" spans="2:12" hidden="1" x14ac:dyDescent="0.25">
      <c r="B121" s="18"/>
      <c r="K121" s="2"/>
      <c r="L121" s="19"/>
    </row>
    <row r="122" spans="2:12" hidden="1" x14ac:dyDescent="0.25">
      <c r="B122" s="18"/>
      <c r="K122" s="2"/>
      <c r="L122" s="19"/>
    </row>
    <row r="123" spans="2:12" hidden="1" x14ac:dyDescent="0.25">
      <c r="B123" s="18"/>
      <c r="K123" s="2"/>
      <c r="L123" s="19"/>
    </row>
    <row r="124" spans="2:12" hidden="1" x14ac:dyDescent="0.25">
      <c r="B124" s="18"/>
      <c r="K124" s="2"/>
      <c r="L124" s="19"/>
    </row>
    <row r="125" spans="2:12" hidden="1" x14ac:dyDescent="0.25">
      <c r="B125" s="18"/>
      <c r="K125" s="2"/>
      <c r="L125" s="19"/>
    </row>
    <row r="126" spans="2:12" hidden="1" x14ac:dyDescent="0.25">
      <c r="B126" s="18"/>
      <c r="K126" s="2"/>
      <c r="L126" s="19"/>
    </row>
    <row r="127" spans="2:12" hidden="1" x14ac:dyDescent="0.25">
      <c r="B127" s="18"/>
      <c r="K127" s="2"/>
      <c r="L127" s="19"/>
    </row>
    <row r="128" spans="2:12" hidden="1" x14ac:dyDescent="0.25">
      <c r="B128" s="18"/>
      <c r="K128" s="2"/>
      <c r="L128" s="19"/>
    </row>
    <row r="129" spans="2:12" hidden="1" x14ac:dyDescent="0.25">
      <c r="B129" s="18"/>
      <c r="K129" s="2"/>
      <c r="L129" s="19"/>
    </row>
    <row r="130" spans="2:12" hidden="1" x14ac:dyDescent="0.25">
      <c r="B130" s="18"/>
      <c r="K130" s="2"/>
      <c r="L130" s="19"/>
    </row>
    <row r="131" spans="2:12" hidden="1" x14ac:dyDescent="0.25">
      <c r="B131" s="18"/>
      <c r="K131" s="2"/>
      <c r="L131" s="19"/>
    </row>
    <row r="132" spans="2:12" hidden="1" x14ac:dyDescent="0.25">
      <c r="B132" s="18"/>
      <c r="K132" s="2"/>
      <c r="L132" s="19"/>
    </row>
    <row r="133" spans="2:12" hidden="1" x14ac:dyDescent="0.25">
      <c r="B133" s="18"/>
      <c r="K133" s="2"/>
      <c r="L133" s="19"/>
    </row>
    <row r="134" spans="2:12" hidden="1" x14ac:dyDescent="0.25">
      <c r="B134" s="18"/>
      <c r="K134" s="2"/>
      <c r="L134" s="19"/>
    </row>
    <row r="135" spans="2:12" hidden="1" x14ac:dyDescent="0.25">
      <c r="B135" s="18"/>
      <c r="K135" s="2"/>
      <c r="L135" s="19"/>
    </row>
    <row r="136" spans="2:12" hidden="1" x14ac:dyDescent="0.25">
      <c r="B136" s="18"/>
      <c r="K136" s="2"/>
      <c r="L136" s="19"/>
    </row>
    <row r="137" spans="2:12" hidden="1" x14ac:dyDescent="0.25">
      <c r="B137" s="18"/>
      <c r="K137" s="2"/>
      <c r="L137" s="19"/>
    </row>
    <row r="138" spans="2:12" x14ac:dyDescent="0.25">
      <c r="B138" s="18"/>
      <c r="K138" s="2"/>
      <c r="L138" s="19"/>
    </row>
    <row r="139" spans="2:12" hidden="1" x14ac:dyDescent="0.25">
      <c r="B139" s="18"/>
      <c r="K139" s="58" t="s">
        <v>59</v>
      </c>
      <c r="L139" s="19"/>
    </row>
    <row r="140" spans="2:12" ht="24.75" hidden="1" customHeight="1" x14ac:dyDescent="0.25">
      <c r="B140" s="18"/>
      <c r="K140" s="126"/>
      <c r="L140" s="19"/>
    </row>
    <row r="141" spans="2:12" ht="24.75" hidden="1" customHeight="1" x14ac:dyDescent="0.25">
      <c r="B141" s="18"/>
      <c r="K141" s="60"/>
      <c r="L141" s="19"/>
    </row>
    <row r="142" spans="2:12" hidden="1" x14ac:dyDescent="0.25">
      <c r="B142" s="18"/>
      <c r="K142" s="60"/>
      <c r="L142" s="19"/>
    </row>
    <row r="143" spans="2:12" hidden="1" x14ac:dyDescent="0.25">
      <c r="B143" s="18"/>
      <c r="K143" s="2"/>
      <c r="L143" s="19"/>
    </row>
    <row r="144" spans="2:12" hidden="1" x14ac:dyDescent="0.25">
      <c r="B144" s="18"/>
      <c r="K144" s="2"/>
      <c r="L144" s="19"/>
    </row>
    <row r="145" spans="2:12" hidden="1" x14ac:dyDescent="0.25">
      <c r="B145" s="18"/>
      <c r="K145" s="2"/>
      <c r="L145" s="19"/>
    </row>
    <row r="146" spans="2:12" hidden="1" x14ac:dyDescent="0.25">
      <c r="B146" s="18"/>
      <c r="K146" s="2"/>
      <c r="L146" s="19"/>
    </row>
    <row r="147" spans="2:12" hidden="1" x14ac:dyDescent="0.25">
      <c r="B147" s="18"/>
      <c r="K147" s="2"/>
      <c r="L147" s="19"/>
    </row>
    <row r="148" spans="2:12" hidden="1" x14ac:dyDescent="0.25">
      <c r="B148" s="18"/>
      <c r="K148" s="2"/>
      <c r="L148" s="19"/>
    </row>
    <row r="149" spans="2:12" hidden="1" x14ac:dyDescent="0.25">
      <c r="B149" s="18"/>
      <c r="K149" s="2"/>
      <c r="L149" s="19"/>
    </row>
    <row r="150" spans="2:12" hidden="1" x14ac:dyDescent="0.25">
      <c r="B150" s="18"/>
      <c r="K150" s="2"/>
      <c r="L150" s="19"/>
    </row>
    <row r="151" spans="2:12" hidden="1" x14ac:dyDescent="0.25">
      <c r="B151" s="18"/>
      <c r="K151" s="2"/>
      <c r="L151" s="19"/>
    </row>
    <row r="152" spans="2:12" hidden="1" x14ac:dyDescent="0.25">
      <c r="B152" s="18"/>
      <c r="K152" s="2"/>
      <c r="L152" s="19"/>
    </row>
    <row r="153" spans="2:12" hidden="1" x14ac:dyDescent="0.25">
      <c r="B153" s="18"/>
      <c r="K153" s="2"/>
      <c r="L153" s="19"/>
    </row>
    <row r="154" spans="2:12" hidden="1" x14ac:dyDescent="0.25">
      <c r="B154" s="18"/>
      <c r="K154" s="2"/>
      <c r="L154" s="19"/>
    </row>
    <row r="155" spans="2:12" hidden="1" x14ac:dyDescent="0.25">
      <c r="B155" s="18"/>
      <c r="K155" s="2"/>
      <c r="L155" s="19"/>
    </row>
    <row r="156" spans="2:12" hidden="1" x14ac:dyDescent="0.25">
      <c r="B156" s="18"/>
      <c r="K156" s="2"/>
      <c r="L156" s="19"/>
    </row>
    <row r="157" spans="2:12" hidden="1" x14ac:dyDescent="0.25">
      <c r="B157" s="18"/>
      <c r="K157" s="2"/>
      <c r="L157" s="19"/>
    </row>
    <row r="158" spans="2:12" hidden="1" x14ac:dyDescent="0.25">
      <c r="B158" s="18"/>
      <c r="K158" s="2"/>
      <c r="L158" s="19"/>
    </row>
    <row r="159" spans="2:12" hidden="1" x14ac:dyDescent="0.25">
      <c r="B159" s="18"/>
      <c r="K159" s="2"/>
      <c r="L159" s="19"/>
    </row>
    <row r="160" spans="2:12" hidden="1" x14ac:dyDescent="0.25">
      <c r="B160" s="18"/>
      <c r="K160" s="2"/>
      <c r="L160" s="19"/>
    </row>
    <row r="161" spans="2:12" hidden="1" x14ac:dyDescent="0.25">
      <c r="B161" s="18"/>
      <c r="K161" s="2"/>
      <c r="L161" s="19"/>
    </row>
    <row r="162" spans="2:12" hidden="1" x14ac:dyDescent="0.25">
      <c r="B162" s="18"/>
      <c r="K162" s="2"/>
      <c r="L162" s="19"/>
    </row>
    <row r="163" spans="2:12" hidden="1" x14ac:dyDescent="0.25">
      <c r="B163" s="18"/>
      <c r="K163" s="2"/>
      <c r="L163" s="19"/>
    </row>
    <row r="164" spans="2:12" hidden="1" x14ac:dyDescent="0.25">
      <c r="B164" s="18"/>
      <c r="K164" s="2"/>
      <c r="L164" s="19"/>
    </row>
    <row r="165" spans="2:12" hidden="1" x14ac:dyDescent="0.25">
      <c r="B165" s="18"/>
      <c r="K165" s="2"/>
      <c r="L165" s="19"/>
    </row>
    <row r="166" spans="2:12" hidden="1" x14ac:dyDescent="0.25">
      <c r="B166" s="18"/>
      <c r="K166" s="2"/>
      <c r="L166" s="19"/>
    </row>
    <row r="167" spans="2:12" hidden="1" x14ac:dyDescent="0.25">
      <c r="B167" s="18"/>
      <c r="K167" s="2"/>
      <c r="L167" s="19"/>
    </row>
    <row r="168" spans="2:12" hidden="1" x14ac:dyDescent="0.25">
      <c r="B168" s="18"/>
      <c r="K168" s="2"/>
      <c r="L168" s="19"/>
    </row>
    <row r="169" spans="2:12" hidden="1" x14ac:dyDescent="0.25">
      <c r="B169" s="18"/>
      <c r="K169" s="2"/>
      <c r="L169" s="19"/>
    </row>
    <row r="170" spans="2:12" hidden="1" x14ac:dyDescent="0.25">
      <c r="B170" s="18"/>
      <c r="K170" s="2"/>
      <c r="L170" s="19"/>
    </row>
    <row r="171" spans="2:12" hidden="1" x14ac:dyDescent="0.25">
      <c r="B171" s="18"/>
      <c r="K171" s="2"/>
      <c r="L171" s="19"/>
    </row>
    <row r="172" spans="2:12" hidden="1" x14ac:dyDescent="0.25">
      <c r="B172" s="18"/>
      <c r="K172" s="2"/>
      <c r="L172" s="19"/>
    </row>
    <row r="173" spans="2:12" hidden="1" x14ac:dyDescent="0.25">
      <c r="B173" s="18"/>
      <c r="K173" s="2"/>
      <c r="L173" s="19"/>
    </row>
    <row r="174" spans="2:12" hidden="1" x14ac:dyDescent="0.25">
      <c r="B174" s="18"/>
      <c r="K174" s="2"/>
      <c r="L174" s="19"/>
    </row>
    <row r="175" spans="2:12" hidden="1" x14ac:dyDescent="0.25">
      <c r="B175" s="18"/>
      <c r="K175" s="2"/>
      <c r="L175" s="19"/>
    </row>
    <row r="176" spans="2:12" hidden="1" x14ac:dyDescent="0.25">
      <c r="B176" s="18"/>
      <c r="K176" s="2"/>
      <c r="L176" s="19"/>
    </row>
    <row r="177" spans="2:12" hidden="1" x14ac:dyDescent="0.25">
      <c r="B177" s="18"/>
      <c r="K177" s="2"/>
      <c r="L177" s="19"/>
    </row>
    <row r="178" spans="2:12" hidden="1" x14ac:dyDescent="0.25">
      <c r="B178" s="18"/>
      <c r="K178" s="2"/>
      <c r="L178" s="19"/>
    </row>
    <row r="179" spans="2:12" hidden="1" x14ac:dyDescent="0.25">
      <c r="B179" s="18"/>
      <c r="K179" s="2"/>
      <c r="L179" s="19"/>
    </row>
    <row r="180" spans="2:12" hidden="1" x14ac:dyDescent="0.25">
      <c r="B180" s="18"/>
      <c r="K180" s="2"/>
      <c r="L180" s="19"/>
    </row>
    <row r="181" spans="2:12" hidden="1" x14ac:dyDescent="0.25">
      <c r="B181" s="18"/>
      <c r="K181" s="2"/>
      <c r="L181" s="19"/>
    </row>
    <row r="182" spans="2:12" hidden="1" x14ac:dyDescent="0.25">
      <c r="B182" s="18"/>
      <c r="K182" s="2"/>
      <c r="L182" s="19"/>
    </row>
    <row r="183" spans="2:12" hidden="1" x14ac:dyDescent="0.25">
      <c r="B183" s="18"/>
      <c r="K183" s="2"/>
      <c r="L183" s="19"/>
    </row>
    <row r="184" spans="2:12" hidden="1" x14ac:dyDescent="0.25">
      <c r="B184" s="18"/>
      <c r="K184" s="2"/>
      <c r="L184" s="19"/>
    </row>
    <row r="185" spans="2:12" hidden="1" x14ac:dyDescent="0.25">
      <c r="B185" s="18"/>
      <c r="K185" s="2"/>
      <c r="L185" s="19"/>
    </row>
    <row r="186" spans="2:12" hidden="1" x14ac:dyDescent="0.25">
      <c r="B186" s="18"/>
      <c r="K186" s="2"/>
      <c r="L186" s="19"/>
    </row>
    <row r="187" spans="2:12" hidden="1" x14ac:dyDescent="0.25">
      <c r="B187" s="18"/>
      <c r="K187" s="2"/>
      <c r="L187" s="19"/>
    </row>
    <row r="188" spans="2:12" hidden="1" x14ac:dyDescent="0.25">
      <c r="B188" s="18"/>
      <c r="K188" s="2"/>
      <c r="L188" s="19"/>
    </row>
    <row r="189" spans="2:12" hidden="1" x14ac:dyDescent="0.25">
      <c r="B189" s="18"/>
      <c r="K189" s="2"/>
      <c r="L189" s="19"/>
    </row>
    <row r="190" spans="2:12" hidden="1" x14ac:dyDescent="0.25">
      <c r="B190" s="18"/>
      <c r="K190" s="2"/>
      <c r="L190" s="19"/>
    </row>
    <row r="191" spans="2:12" hidden="1" x14ac:dyDescent="0.25">
      <c r="B191" s="18"/>
      <c r="K191" s="2"/>
      <c r="L191" s="19"/>
    </row>
    <row r="192" spans="2:12" hidden="1" x14ac:dyDescent="0.25">
      <c r="B192" s="18"/>
      <c r="K192" s="2"/>
      <c r="L192" s="19"/>
    </row>
    <row r="193" spans="2:12" x14ac:dyDescent="0.25">
      <c r="B193" s="18"/>
      <c r="C193" s="2"/>
      <c r="D193" s="2"/>
      <c r="E193" s="2"/>
      <c r="F193" s="2"/>
      <c r="G193" s="2"/>
      <c r="H193" s="2"/>
      <c r="I193" s="2"/>
      <c r="J193" s="2"/>
      <c r="K193" s="2"/>
      <c r="L193" s="19"/>
    </row>
    <row r="194" spans="2:12" ht="15.75" thickBot="1" x14ac:dyDescent="0.3">
      <c r="B194" s="28"/>
      <c r="C194" s="46" t="s">
        <v>23</v>
      </c>
      <c r="D194" s="45"/>
      <c r="E194" s="45"/>
      <c r="F194" s="29"/>
      <c r="G194" s="29"/>
      <c r="H194" s="29"/>
      <c r="I194" s="29"/>
      <c r="J194" s="29"/>
      <c r="K194" s="29"/>
      <c r="L194" s="30"/>
    </row>
  </sheetData>
  <sheetProtection algorithmName="SHA-512" hashValue="q7dRM4ulL2yPBxlCUA5CCujc0om0uH14puSJiqiGHs2z/LulRCt/4UgJGVScKlNzgG5VQzqyhKFsrI623rKnuQ==" saltValue="o5UzDq3gAaBrGmM3Cl0Xag==" spinCount="100000" sheet="1" scenarios="1" selectLockedCells="1"/>
  <mergeCells count="55">
    <mergeCell ref="C3:J3"/>
    <mergeCell ref="K2:L3"/>
    <mergeCell ref="D21:G21"/>
    <mergeCell ref="C7:D7"/>
    <mergeCell ref="E7:F7"/>
    <mergeCell ref="I7:J7"/>
    <mergeCell ref="C8:D8"/>
    <mergeCell ref="E8:F8"/>
    <mergeCell ref="I8:J8"/>
    <mergeCell ref="C13:D13"/>
    <mergeCell ref="C9:D9"/>
    <mergeCell ref="E13:F13"/>
    <mergeCell ref="E9:F9"/>
    <mergeCell ref="E10:F10"/>
    <mergeCell ref="C10:D10"/>
    <mergeCell ref="I13:K13"/>
    <mergeCell ref="C16:K16"/>
    <mergeCell ref="H72:I72"/>
    <mergeCell ref="H73:I73"/>
    <mergeCell ref="H21:I21"/>
    <mergeCell ref="H20:I20"/>
    <mergeCell ref="H37:I37"/>
    <mergeCell ref="H40:I40"/>
    <mergeCell ref="D32:G32"/>
    <mergeCell ref="D33:G33"/>
    <mergeCell ref="H30:J30"/>
    <mergeCell ref="H25:I25"/>
    <mergeCell ref="D26:G26"/>
    <mergeCell ref="H26:I26"/>
    <mergeCell ref="D59:E59"/>
    <mergeCell ref="D60:E60"/>
    <mergeCell ref="D41:G41"/>
    <mergeCell ref="D42:G42"/>
    <mergeCell ref="D43:G43"/>
    <mergeCell ref="C45:D45"/>
    <mergeCell ref="D46:K46"/>
    <mergeCell ref="H41:I41"/>
    <mergeCell ref="H42:I42"/>
    <mergeCell ref="H43:I43"/>
    <mergeCell ref="H74:I74"/>
    <mergeCell ref="C69:K69"/>
    <mergeCell ref="H36:I36"/>
    <mergeCell ref="C18:G18"/>
    <mergeCell ref="C23:G23"/>
    <mergeCell ref="C28:G28"/>
    <mergeCell ref="D37:G37"/>
    <mergeCell ref="E74:G74"/>
    <mergeCell ref="E72:G72"/>
    <mergeCell ref="E73:G73"/>
    <mergeCell ref="D61:E61"/>
    <mergeCell ref="D64:K64"/>
    <mergeCell ref="D65:K65"/>
    <mergeCell ref="I56:K56"/>
    <mergeCell ref="D34:G34"/>
    <mergeCell ref="D30:G30"/>
  </mergeCells>
  <dataValidations count="3">
    <dataValidation type="list" allowBlank="1" showInputMessage="1" showErrorMessage="1" sqref="H73:H74 G22 H21 H26:H27 H37:H39 F77:F78 F140:F142">
      <formula1>CURRENCY</formula1>
    </dataValidation>
    <dataValidation type="list" allowBlank="1" showInputMessage="1" showErrorMessage="1" sqref="E14:F15">
      <formula1>Banks</formula1>
    </dataValidation>
    <dataValidation errorStyle="warning" operator="lessThanOrEqual" allowBlank="1" showInputMessage="1" showErrorMessage="1" errorTitle="Invalid Date" error="The entered date is in the future or is not in the dd/mm/yyyy format" sqref="E77:E78 E140:E142"/>
  </dataValidations>
  <pageMargins left="0.7" right="0.7" top="0.75" bottom="0.75" header="0.3" footer="0.3"/>
  <pageSetup paperSize="9" scale="74" fitToHeight="3" orientation="portrait" r:id="rId1"/>
  <headerFooter>
    <oddFooter>&amp;LRESTRICTED</oddFooter>
    <evenFooter>&amp;LRESTRICTED</evenFooter>
    <firstFooter>&amp;LRESTRICTED</firstFooter>
  </headerFooter>
  <drawing r:id="rId2"/>
  <legacyDrawing r:id="rId3"/>
  <controls>
    <mc:AlternateContent xmlns:mc="http://schemas.openxmlformats.org/markup-compatibility/2006">
      <mc:Choice Requires="x14">
        <control shapeId="10256" r:id="rId4" name="OptionButton1">
          <controlPr defaultSize="0" autoLine="0" r:id="rId5">
            <anchor moveWithCells="1">
              <from>
                <xdr:col>7</xdr:col>
                <xdr:colOff>352425</xdr:colOff>
                <xdr:row>17</xdr:row>
                <xdr:rowOff>9525</xdr:rowOff>
              </from>
              <to>
                <xdr:col>7</xdr:col>
                <xdr:colOff>819150</xdr:colOff>
                <xdr:row>18</xdr:row>
                <xdr:rowOff>9525</xdr:rowOff>
              </to>
            </anchor>
          </controlPr>
        </control>
      </mc:Choice>
      <mc:Fallback>
        <control shapeId="10256" r:id="rId4" name="OptionButton1"/>
      </mc:Fallback>
    </mc:AlternateContent>
    <mc:AlternateContent xmlns:mc="http://schemas.openxmlformats.org/markup-compatibility/2006">
      <mc:Choice Requires="x14">
        <control shapeId="10257" r:id="rId6" name="OptionButton2">
          <controlPr defaultSize="0" autoLine="0" r:id="rId7">
            <anchor moveWithCells="1">
              <from>
                <xdr:col>8</xdr:col>
                <xdr:colOff>57150</xdr:colOff>
                <xdr:row>17</xdr:row>
                <xdr:rowOff>9525</xdr:rowOff>
              </from>
              <to>
                <xdr:col>8</xdr:col>
                <xdr:colOff>533400</xdr:colOff>
                <xdr:row>18</xdr:row>
                <xdr:rowOff>9525</xdr:rowOff>
              </to>
            </anchor>
          </controlPr>
        </control>
      </mc:Choice>
      <mc:Fallback>
        <control shapeId="10257" r:id="rId6" name="OptionButton2"/>
      </mc:Fallback>
    </mc:AlternateContent>
    <mc:AlternateContent xmlns:mc="http://schemas.openxmlformats.org/markup-compatibility/2006">
      <mc:Choice Requires="x14">
        <control shapeId="10258" r:id="rId8" name="OptionButton3">
          <controlPr defaultSize="0" autoLine="0" r:id="rId9">
            <anchor moveWithCells="1">
              <from>
                <xdr:col>7</xdr:col>
                <xdr:colOff>342900</xdr:colOff>
                <xdr:row>22</xdr:row>
                <xdr:rowOff>19050</xdr:rowOff>
              </from>
              <to>
                <xdr:col>7</xdr:col>
                <xdr:colOff>809625</xdr:colOff>
                <xdr:row>23</xdr:row>
                <xdr:rowOff>19050</xdr:rowOff>
              </to>
            </anchor>
          </controlPr>
        </control>
      </mc:Choice>
      <mc:Fallback>
        <control shapeId="10258" r:id="rId8" name="OptionButton3"/>
      </mc:Fallback>
    </mc:AlternateContent>
    <mc:AlternateContent xmlns:mc="http://schemas.openxmlformats.org/markup-compatibility/2006">
      <mc:Choice Requires="x14">
        <control shapeId="10259" r:id="rId10" name="OptionButton4">
          <controlPr defaultSize="0" autoLine="0" r:id="rId11">
            <anchor moveWithCells="1">
              <from>
                <xdr:col>8</xdr:col>
                <xdr:colOff>47625</xdr:colOff>
                <xdr:row>22</xdr:row>
                <xdr:rowOff>19050</xdr:rowOff>
              </from>
              <to>
                <xdr:col>8</xdr:col>
                <xdr:colOff>523875</xdr:colOff>
                <xdr:row>23</xdr:row>
                <xdr:rowOff>19050</xdr:rowOff>
              </to>
            </anchor>
          </controlPr>
        </control>
      </mc:Choice>
      <mc:Fallback>
        <control shapeId="10259" r:id="rId10" name="OptionButton4"/>
      </mc:Fallback>
    </mc:AlternateContent>
    <mc:AlternateContent xmlns:mc="http://schemas.openxmlformats.org/markup-compatibility/2006">
      <mc:Choice Requires="x14">
        <control shapeId="10260" r:id="rId12" name="OptionButton5">
          <controlPr defaultSize="0" autoLine="0" r:id="rId13">
            <anchor moveWithCells="1">
              <from>
                <xdr:col>7</xdr:col>
                <xdr:colOff>314325</xdr:colOff>
                <xdr:row>27</xdr:row>
                <xdr:rowOff>19050</xdr:rowOff>
              </from>
              <to>
                <xdr:col>7</xdr:col>
                <xdr:colOff>781050</xdr:colOff>
                <xdr:row>28</xdr:row>
                <xdr:rowOff>19050</xdr:rowOff>
              </to>
            </anchor>
          </controlPr>
        </control>
      </mc:Choice>
      <mc:Fallback>
        <control shapeId="10260" r:id="rId12" name="OptionButton5"/>
      </mc:Fallback>
    </mc:AlternateContent>
    <mc:AlternateContent xmlns:mc="http://schemas.openxmlformats.org/markup-compatibility/2006">
      <mc:Choice Requires="x14">
        <control shapeId="10261" r:id="rId14" name="OptionButton6">
          <controlPr defaultSize="0" autoLine="0" r:id="rId15">
            <anchor moveWithCells="1">
              <from>
                <xdr:col>8</xdr:col>
                <xdr:colOff>28575</xdr:colOff>
                <xdr:row>27</xdr:row>
                <xdr:rowOff>19050</xdr:rowOff>
              </from>
              <to>
                <xdr:col>8</xdr:col>
                <xdr:colOff>495300</xdr:colOff>
                <xdr:row>28</xdr:row>
                <xdr:rowOff>19050</xdr:rowOff>
              </to>
            </anchor>
          </controlPr>
        </control>
      </mc:Choice>
      <mc:Fallback>
        <control shapeId="10261" r:id="rId14" name="OptionButton6"/>
      </mc:Fallback>
    </mc:AlternateContent>
    <mc:AlternateContent xmlns:mc="http://schemas.openxmlformats.org/markup-compatibility/2006">
      <mc:Choice Requires="x14">
        <control shapeId="10263" r:id="rId16" name="Button 23">
          <controlPr defaultSize="0" print="0" autoFill="0" autoPict="0" macro="[0]!GoTo_DomAdvance">
            <anchor moveWithCells="1" sizeWithCells="1">
              <from>
                <xdr:col>13</xdr:col>
                <xdr:colOff>333375</xdr:colOff>
                <xdr:row>19</xdr:row>
                <xdr:rowOff>19050</xdr:rowOff>
              </from>
              <to>
                <xdr:col>15</xdr:col>
                <xdr:colOff>133350</xdr:colOff>
                <xdr:row>20</xdr:row>
                <xdr:rowOff>133350</xdr:rowOff>
              </to>
            </anchor>
          </controlPr>
        </control>
      </mc:Choice>
    </mc:AlternateContent>
    <mc:AlternateContent xmlns:mc="http://schemas.openxmlformats.org/markup-compatibility/2006">
      <mc:Choice Requires="x14">
        <control shapeId="10264" r:id="rId17" name="Button 24">
          <controlPr defaultSize="0" print="0" autoFill="0" autoPict="0" macro="[0]!GoTo_DomExpense">
            <anchor moveWithCells="1" sizeWithCells="1">
              <from>
                <xdr:col>13</xdr:col>
                <xdr:colOff>352425</xdr:colOff>
                <xdr:row>23</xdr:row>
                <xdr:rowOff>161925</xdr:rowOff>
              </from>
              <to>
                <xdr:col>15</xdr:col>
                <xdr:colOff>152400</xdr:colOff>
                <xdr:row>25</xdr:row>
                <xdr:rowOff>95250</xdr:rowOff>
              </to>
            </anchor>
          </controlPr>
        </control>
      </mc:Choice>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References!$I$1:$I$3</xm:f>
          </x14:formula1>
          <xm:sqref>E73:G74</xm:sqref>
        </x14:dataValidation>
        <x14:dataValidation type="list" allowBlank="1" showInputMessage="1" showErrorMessage="1">
          <x14:formula1>
            <xm:f>References!$F$1:$F$3</xm:f>
          </x14:formula1>
          <xm:sqref>C77:C78</xm:sqref>
        </x14:dataValidation>
        <x14:dataValidation type="list" allowBlank="1" showInputMessage="1" showErrorMessage="1">
          <x14:formula1>
            <xm:f>References!$M$1:$M$5</xm:f>
          </x14:formula1>
          <xm:sqref>I140:I142</xm:sqref>
        </x14:dataValidation>
        <x14:dataValidation type="list" allowBlank="1" showInputMessage="1" showErrorMessage="1">
          <x14:formula1>
            <xm:f>References!$H$1:$H$51</xm:f>
          </x14:formula1>
          <xm:sqref>J140:J142</xm:sqref>
        </x14:dataValidation>
        <x14:dataValidation type="list" allowBlank="1" showInputMessage="1" showErrorMessage="1">
          <x14:formula1>
            <xm:f>References!$J$1:$J$5</xm:f>
          </x14:formula1>
          <xm:sqref>C140:C142</xm:sqref>
        </x14:dataValidation>
        <x14:dataValidation type="list" allowBlank="1" showInputMessage="1" showErrorMessage="1">
          <x14:formula1>
            <xm:f>References!$P$1:$P$3</xm:f>
          </x14:formula1>
          <xm:sqref>E9:F9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4:G61"/>
  <sheetViews>
    <sheetView showGridLines="0" showRowColHeaders="0" zoomScale="120" zoomScaleNormal="120" workbookViewId="0">
      <selection activeCell="B5" sqref="B5:G6"/>
    </sheetView>
  </sheetViews>
  <sheetFormatPr defaultRowHeight="15" x14ac:dyDescent="0.25"/>
  <cols>
    <col min="1" max="1" width="4.140625" customWidth="1"/>
    <col min="2" max="2" width="11.7109375" customWidth="1"/>
    <col min="3" max="3" width="11.85546875" customWidth="1"/>
    <col min="4" max="4" width="17.7109375" customWidth="1"/>
    <col min="5" max="5" width="15.28515625" customWidth="1"/>
  </cols>
  <sheetData>
    <row r="4" spans="2:7" ht="18.75" x14ac:dyDescent="0.3">
      <c r="B4" s="204" t="s">
        <v>66</v>
      </c>
      <c r="C4" s="204"/>
      <c r="D4" s="204"/>
      <c r="E4" s="204"/>
      <c r="F4" s="204"/>
      <c r="G4" s="204"/>
    </row>
    <row r="5" spans="2:7" ht="24.75" customHeight="1" x14ac:dyDescent="0.25">
      <c r="B5" s="205" t="s">
        <v>65</v>
      </c>
      <c r="C5" s="205"/>
      <c r="D5" s="94" t="s">
        <v>115</v>
      </c>
      <c r="E5" s="205" t="s">
        <v>14</v>
      </c>
      <c r="F5" s="205"/>
      <c r="G5" s="61" t="s">
        <v>9</v>
      </c>
    </row>
    <row r="6" spans="2:7" ht="15" customHeight="1" x14ac:dyDescent="0.25">
      <c r="B6" s="201"/>
      <c r="C6" s="202"/>
      <c r="D6" s="95"/>
      <c r="E6" s="206"/>
      <c r="F6" s="203"/>
      <c r="G6" s="88">
        <v>0</v>
      </c>
    </row>
    <row r="7" spans="2:7" x14ac:dyDescent="0.25">
      <c r="B7" s="202"/>
      <c r="C7" s="203"/>
      <c r="D7" s="95"/>
      <c r="E7" s="202"/>
      <c r="F7" s="203"/>
      <c r="G7" s="88"/>
    </row>
    <row r="8" spans="2:7" ht="15" customHeight="1" x14ac:dyDescent="0.25">
      <c r="B8" s="202"/>
      <c r="C8" s="203"/>
      <c r="D8" s="95"/>
      <c r="E8" s="202"/>
      <c r="F8" s="203"/>
      <c r="G8" s="88"/>
    </row>
    <row r="9" spans="2:7" ht="15" customHeight="1" x14ac:dyDescent="0.25">
      <c r="B9" s="202"/>
      <c r="C9" s="203"/>
      <c r="D9" s="95"/>
      <c r="E9" s="202"/>
      <c r="F9" s="203"/>
      <c r="G9" s="88"/>
    </row>
    <row r="10" spans="2:7" ht="15" customHeight="1" x14ac:dyDescent="0.25">
      <c r="B10" s="202"/>
      <c r="C10" s="203"/>
      <c r="D10" s="95"/>
      <c r="E10" s="202"/>
      <c r="F10" s="203"/>
      <c r="G10" s="88"/>
    </row>
    <row r="11" spans="2:7" ht="15" customHeight="1" x14ac:dyDescent="0.25">
      <c r="B11" s="202"/>
      <c r="C11" s="203"/>
      <c r="D11" s="95"/>
      <c r="E11" s="202"/>
      <c r="F11" s="203"/>
      <c r="G11" s="88"/>
    </row>
    <row r="12" spans="2:7" ht="15" customHeight="1" x14ac:dyDescent="0.25">
      <c r="B12" s="202"/>
      <c r="C12" s="203"/>
      <c r="D12" s="95"/>
      <c r="E12" s="202"/>
      <c r="F12" s="203"/>
      <c r="G12" s="88"/>
    </row>
    <row r="13" spans="2:7" ht="15" customHeight="1" x14ac:dyDescent="0.25">
      <c r="B13" s="202"/>
      <c r="C13" s="203"/>
      <c r="D13" s="95"/>
      <c r="E13" s="202"/>
      <c r="F13" s="203"/>
      <c r="G13" s="88"/>
    </row>
    <row r="14" spans="2:7" ht="15" customHeight="1" x14ac:dyDescent="0.25">
      <c r="B14" s="202"/>
      <c r="C14" s="203"/>
      <c r="D14" s="95"/>
      <c r="E14" s="202"/>
      <c r="F14" s="203"/>
      <c r="G14" s="88"/>
    </row>
    <row r="15" spans="2:7" ht="15" customHeight="1" x14ac:dyDescent="0.25">
      <c r="B15" s="202"/>
      <c r="C15" s="203"/>
      <c r="D15" s="95"/>
      <c r="E15" s="202"/>
      <c r="F15" s="203"/>
      <c r="G15" s="88"/>
    </row>
    <row r="16" spans="2:7" ht="15" customHeight="1" x14ac:dyDescent="0.25">
      <c r="B16" s="202"/>
      <c r="C16" s="203"/>
      <c r="D16" s="95"/>
      <c r="E16" s="202"/>
      <c r="F16" s="203"/>
      <c r="G16" s="88"/>
    </row>
    <row r="17" spans="2:7" ht="15" customHeight="1" x14ac:dyDescent="0.25">
      <c r="B17" s="202"/>
      <c r="C17" s="203"/>
      <c r="D17" s="95"/>
      <c r="E17" s="202"/>
      <c r="F17" s="203"/>
      <c r="G17" s="88"/>
    </row>
    <row r="18" spans="2:7" ht="15" customHeight="1" x14ac:dyDescent="0.25">
      <c r="B18" s="202"/>
      <c r="C18" s="203"/>
      <c r="D18" s="95"/>
      <c r="E18" s="202"/>
      <c r="F18" s="203"/>
      <c r="G18" s="88"/>
    </row>
    <row r="19" spans="2:7" ht="15" customHeight="1" x14ac:dyDescent="0.25">
      <c r="B19" s="202"/>
      <c r="C19" s="203"/>
      <c r="D19" s="95"/>
      <c r="E19" s="202"/>
      <c r="F19" s="203"/>
      <c r="G19" s="88"/>
    </row>
    <row r="20" spans="2:7" ht="15" customHeight="1" x14ac:dyDescent="0.25">
      <c r="B20" s="202"/>
      <c r="C20" s="203"/>
      <c r="D20" s="95"/>
      <c r="E20" s="202"/>
      <c r="F20" s="203"/>
      <c r="G20" s="88"/>
    </row>
    <row r="21" spans="2:7" ht="15" customHeight="1" x14ac:dyDescent="0.25">
      <c r="B21" s="202"/>
      <c r="C21" s="203"/>
      <c r="D21" s="95"/>
      <c r="E21" s="202"/>
      <c r="F21" s="203"/>
      <c r="G21" s="88"/>
    </row>
    <row r="22" spans="2:7" ht="15" customHeight="1" x14ac:dyDescent="0.25">
      <c r="B22" s="202"/>
      <c r="C22" s="203"/>
      <c r="D22" s="95"/>
      <c r="E22" s="202"/>
      <c r="F22" s="203"/>
      <c r="G22" s="88"/>
    </row>
    <row r="23" spans="2:7" ht="15" customHeight="1" x14ac:dyDescent="0.25">
      <c r="B23" s="202"/>
      <c r="C23" s="203"/>
      <c r="D23" s="95"/>
      <c r="E23" s="202"/>
      <c r="F23" s="203"/>
      <c r="G23" s="88"/>
    </row>
    <row r="24" spans="2:7" ht="15" customHeight="1" x14ac:dyDescent="0.25">
      <c r="B24" s="202"/>
      <c r="C24" s="203"/>
      <c r="D24" s="95"/>
      <c r="E24" s="202"/>
      <c r="F24" s="203"/>
      <c r="G24" s="88"/>
    </row>
    <row r="25" spans="2:7" ht="15" customHeight="1" x14ac:dyDescent="0.25">
      <c r="B25" s="202"/>
      <c r="C25" s="203"/>
      <c r="D25" s="95"/>
      <c r="E25" s="202"/>
      <c r="F25" s="203"/>
      <c r="G25" s="88"/>
    </row>
    <row r="26" spans="2:7" ht="15" customHeight="1" x14ac:dyDescent="0.25">
      <c r="B26" s="202"/>
      <c r="C26" s="203"/>
      <c r="D26" s="95"/>
      <c r="E26" s="202"/>
      <c r="F26" s="203"/>
      <c r="G26" s="88"/>
    </row>
    <row r="27" spans="2:7" ht="15" customHeight="1" x14ac:dyDescent="0.25">
      <c r="B27" s="202"/>
      <c r="C27" s="203"/>
      <c r="D27" s="95"/>
      <c r="E27" s="202"/>
      <c r="F27" s="203"/>
      <c r="G27" s="88"/>
    </row>
    <row r="28" spans="2:7" ht="15" customHeight="1" x14ac:dyDescent="0.25">
      <c r="B28" s="202"/>
      <c r="C28" s="203"/>
      <c r="D28" s="95"/>
      <c r="E28" s="202"/>
      <c r="F28" s="203"/>
      <c r="G28" s="88"/>
    </row>
    <row r="29" spans="2:7" ht="15" customHeight="1" x14ac:dyDescent="0.25">
      <c r="B29" s="202"/>
      <c r="C29" s="203"/>
      <c r="D29" s="95"/>
      <c r="E29" s="202"/>
      <c r="F29" s="203"/>
      <c r="G29" s="88"/>
    </row>
    <row r="30" spans="2:7" ht="15" customHeight="1" x14ac:dyDescent="0.25">
      <c r="B30" s="202"/>
      <c r="C30" s="203"/>
      <c r="D30" s="95"/>
      <c r="E30" s="202"/>
      <c r="F30" s="203"/>
      <c r="G30" s="88"/>
    </row>
    <row r="31" spans="2:7" ht="15" customHeight="1" x14ac:dyDescent="0.25">
      <c r="B31" s="202"/>
      <c r="C31" s="203"/>
      <c r="D31" s="95"/>
      <c r="E31" s="202"/>
      <c r="F31" s="203"/>
      <c r="G31" s="88"/>
    </row>
    <row r="32" spans="2:7" ht="15" customHeight="1" x14ac:dyDescent="0.25">
      <c r="B32" s="202"/>
      <c r="C32" s="203"/>
      <c r="D32" s="95"/>
      <c r="E32" s="202"/>
      <c r="F32" s="203"/>
      <c r="G32" s="88"/>
    </row>
    <row r="33" spans="2:7" ht="15" customHeight="1" x14ac:dyDescent="0.25">
      <c r="B33" s="202"/>
      <c r="C33" s="203"/>
      <c r="D33" s="95"/>
      <c r="E33" s="202"/>
      <c r="F33" s="203"/>
      <c r="G33" s="88"/>
    </row>
    <row r="34" spans="2:7" ht="15" customHeight="1" x14ac:dyDescent="0.25">
      <c r="B34" s="202"/>
      <c r="C34" s="203"/>
      <c r="D34" s="95"/>
      <c r="E34" s="202"/>
      <c r="F34" s="203"/>
      <c r="G34" s="88"/>
    </row>
    <row r="35" spans="2:7" ht="15" customHeight="1" x14ac:dyDescent="0.25">
      <c r="B35" s="202"/>
      <c r="C35" s="203"/>
      <c r="D35" s="95"/>
      <c r="E35" s="202"/>
      <c r="F35" s="203"/>
      <c r="G35" s="88"/>
    </row>
    <row r="36" spans="2:7" ht="15" customHeight="1" x14ac:dyDescent="0.25">
      <c r="B36" s="202"/>
      <c r="C36" s="203"/>
      <c r="D36" s="95"/>
      <c r="E36" s="202"/>
      <c r="F36" s="203"/>
      <c r="G36" s="88"/>
    </row>
    <row r="37" spans="2:7" ht="15" customHeight="1" x14ac:dyDescent="0.25">
      <c r="B37" s="202"/>
      <c r="C37" s="203"/>
      <c r="D37" s="95"/>
      <c r="E37" s="202"/>
      <c r="F37" s="203"/>
      <c r="G37" s="88"/>
    </row>
    <row r="38" spans="2:7" ht="15" customHeight="1" x14ac:dyDescent="0.25">
      <c r="B38" s="202"/>
      <c r="C38" s="203"/>
      <c r="D38" s="95"/>
      <c r="E38" s="202"/>
      <c r="F38" s="203"/>
      <c r="G38" s="88"/>
    </row>
    <row r="39" spans="2:7" ht="15" customHeight="1" x14ac:dyDescent="0.25">
      <c r="B39" s="202"/>
      <c r="C39" s="203"/>
      <c r="D39" s="95"/>
      <c r="E39" s="202"/>
      <c r="F39" s="203"/>
      <c r="G39" s="88"/>
    </row>
    <row r="40" spans="2:7" ht="15" customHeight="1" x14ac:dyDescent="0.25">
      <c r="B40" s="202"/>
      <c r="C40" s="203"/>
      <c r="D40" s="95"/>
      <c r="E40" s="202"/>
      <c r="F40" s="203"/>
      <c r="G40" s="88"/>
    </row>
    <row r="41" spans="2:7" ht="15" customHeight="1" x14ac:dyDescent="0.25">
      <c r="B41" s="202"/>
      <c r="C41" s="203"/>
      <c r="D41" s="95"/>
      <c r="E41" s="202"/>
      <c r="F41" s="203"/>
      <c r="G41" s="88"/>
    </row>
    <row r="42" spans="2:7" ht="15" customHeight="1" x14ac:dyDescent="0.25">
      <c r="B42" s="202"/>
      <c r="C42" s="203"/>
      <c r="D42" s="95"/>
      <c r="E42" s="202"/>
      <c r="F42" s="203"/>
      <c r="G42" s="88"/>
    </row>
    <row r="43" spans="2:7" ht="15" customHeight="1" x14ac:dyDescent="0.25">
      <c r="B43" s="202"/>
      <c r="C43" s="203"/>
      <c r="D43" s="95"/>
      <c r="E43" s="202"/>
      <c r="F43" s="203"/>
      <c r="G43" s="88"/>
    </row>
    <row r="44" spans="2:7" ht="15" customHeight="1" x14ac:dyDescent="0.25">
      <c r="B44" s="202"/>
      <c r="C44" s="203"/>
      <c r="D44" s="95"/>
      <c r="E44" s="202"/>
      <c r="F44" s="203"/>
      <c r="G44" s="88"/>
    </row>
    <row r="45" spans="2:7" ht="15" customHeight="1" x14ac:dyDescent="0.25">
      <c r="B45" s="202"/>
      <c r="C45" s="203"/>
      <c r="D45" s="95"/>
      <c r="E45" s="202"/>
      <c r="F45" s="203"/>
      <c r="G45" s="88"/>
    </row>
    <row r="46" spans="2:7" ht="15" customHeight="1" x14ac:dyDescent="0.25">
      <c r="B46" s="202"/>
      <c r="C46" s="203"/>
      <c r="D46" s="95"/>
      <c r="E46" s="202"/>
      <c r="F46" s="203"/>
      <c r="G46" s="88"/>
    </row>
    <row r="47" spans="2:7" ht="15" customHeight="1" x14ac:dyDescent="0.25">
      <c r="B47" s="202"/>
      <c r="C47" s="203"/>
      <c r="D47" s="95"/>
      <c r="E47" s="202"/>
      <c r="F47" s="203"/>
      <c r="G47" s="88"/>
    </row>
    <row r="48" spans="2:7" ht="15" customHeight="1" x14ac:dyDescent="0.25">
      <c r="B48" s="202"/>
      <c r="C48" s="203"/>
      <c r="D48" s="95"/>
      <c r="E48" s="202"/>
      <c r="F48" s="203"/>
      <c r="G48" s="88"/>
    </row>
    <row r="49" spans="2:7" ht="15" customHeight="1" x14ac:dyDescent="0.25">
      <c r="B49" s="202"/>
      <c r="C49" s="203"/>
      <c r="D49" s="95"/>
      <c r="E49" s="202"/>
      <c r="F49" s="203"/>
      <c r="G49" s="88"/>
    </row>
    <row r="50" spans="2:7" ht="15" customHeight="1" x14ac:dyDescent="0.25">
      <c r="B50" s="202"/>
      <c r="C50" s="203"/>
      <c r="D50" s="95"/>
      <c r="E50" s="202"/>
      <c r="F50" s="203"/>
      <c r="G50" s="88"/>
    </row>
    <row r="51" spans="2:7" ht="15" customHeight="1" x14ac:dyDescent="0.25">
      <c r="B51" s="202"/>
      <c r="C51" s="203"/>
      <c r="D51" s="95"/>
      <c r="E51" s="202"/>
      <c r="F51" s="203"/>
      <c r="G51" s="88"/>
    </row>
    <row r="52" spans="2:7" ht="15" customHeight="1" x14ac:dyDescent="0.25">
      <c r="B52" s="202"/>
      <c r="C52" s="203"/>
      <c r="D52" s="95"/>
      <c r="E52" s="202"/>
      <c r="F52" s="203"/>
      <c r="G52" s="88"/>
    </row>
    <row r="53" spans="2:7" ht="15" customHeight="1" x14ac:dyDescent="0.25">
      <c r="B53" s="202"/>
      <c r="C53" s="203"/>
      <c r="D53" s="95"/>
      <c r="E53" s="202"/>
      <c r="F53" s="203"/>
      <c r="G53" s="88"/>
    </row>
    <row r="54" spans="2:7" ht="15" customHeight="1" x14ac:dyDescent="0.25">
      <c r="B54" s="202"/>
      <c r="C54" s="203"/>
      <c r="D54" s="95"/>
      <c r="E54" s="202"/>
      <c r="F54" s="203"/>
      <c r="G54" s="88"/>
    </row>
    <row r="55" spans="2:7" ht="15" customHeight="1" x14ac:dyDescent="0.25">
      <c r="B55" s="202"/>
      <c r="C55" s="203"/>
      <c r="D55" s="95"/>
      <c r="E55" s="202"/>
      <c r="F55" s="203"/>
      <c r="G55" s="88"/>
    </row>
    <row r="56" spans="2:7" ht="15" customHeight="1" x14ac:dyDescent="0.25">
      <c r="B56" s="202"/>
      <c r="C56" s="203"/>
      <c r="D56" s="95"/>
      <c r="E56" s="202"/>
      <c r="F56" s="203"/>
      <c r="G56" s="88"/>
    </row>
    <row r="57" spans="2:7" ht="15" customHeight="1" x14ac:dyDescent="0.25">
      <c r="B57" s="202"/>
      <c r="C57" s="203"/>
      <c r="D57" s="95"/>
      <c r="E57" s="202"/>
      <c r="F57" s="203"/>
      <c r="G57" s="88"/>
    </row>
    <row r="58" spans="2:7" ht="15" customHeight="1" x14ac:dyDescent="0.25">
      <c r="B58" s="202"/>
      <c r="C58" s="203"/>
      <c r="D58" s="95"/>
      <c r="E58" s="202"/>
      <c r="F58" s="203"/>
      <c r="G58" s="88"/>
    </row>
    <row r="59" spans="2:7" ht="15" customHeight="1" x14ac:dyDescent="0.25">
      <c r="B59" s="202"/>
      <c r="C59" s="203"/>
      <c r="D59" s="95"/>
      <c r="E59" s="202"/>
      <c r="F59" s="203"/>
      <c r="G59" s="88"/>
    </row>
    <row r="60" spans="2:7" ht="15" customHeight="1" x14ac:dyDescent="0.25">
      <c r="B60" s="202"/>
      <c r="C60" s="203"/>
      <c r="D60" s="95"/>
      <c r="E60" s="202"/>
      <c r="F60" s="203"/>
      <c r="G60" s="88"/>
    </row>
    <row r="61" spans="2:7" ht="15" customHeight="1" x14ac:dyDescent="0.25">
      <c r="B61" s="202"/>
      <c r="C61" s="203"/>
      <c r="D61" s="95"/>
      <c r="E61" s="202"/>
      <c r="F61" s="203"/>
      <c r="G61" s="88"/>
    </row>
  </sheetData>
  <sheetProtection algorithmName="SHA-512" hashValue="YwzcLJAnlQ5ZvDApWI3BSfmdWaK2Srr4qUPZfPzckIRbSstCP1JJAuZYn43R1FufQIOD+aBbY3AD3Ml65vnMdQ==" saltValue="UD/XLu4cFuodyikmZ+jPYw==" spinCount="100000" sheet="1" scenarios="1" selectLockedCells="1"/>
  <mergeCells count="115">
    <mergeCell ref="B4:G4"/>
    <mergeCell ref="B5:C5"/>
    <mergeCell ref="E5:F5"/>
    <mergeCell ref="B6:C6"/>
    <mergeCell ref="E6:F6"/>
    <mergeCell ref="B7:C7"/>
    <mergeCell ref="E7:F7"/>
    <mergeCell ref="B11:C11"/>
    <mergeCell ref="E11:F11"/>
    <mergeCell ref="B12:C12"/>
    <mergeCell ref="E12:F12"/>
    <mergeCell ref="B13:C13"/>
    <mergeCell ref="E13:F13"/>
    <mergeCell ref="B8:C8"/>
    <mergeCell ref="E8:F8"/>
    <mergeCell ref="B9:C9"/>
    <mergeCell ref="E9:F9"/>
    <mergeCell ref="B10:C10"/>
    <mergeCell ref="E10:F10"/>
    <mergeCell ref="B17:C17"/>
    <mergeCell ref="E17:F17"/>
    <mergeCell ref="B18:C18"/>
    <mergeCell ref="E18:F18"/>
    <mergeCell ref="B19:C19"/>
    <mergeCell ref="E19:F19"/>
    <mergeCell ref="B14:C14"/>
    <mergeCell ref="E14:F14"/>
    <mergeCell ref="B15:C15"/>
    <mergeCell ref="E15:F15"/>
    <mergeCell ref="B16:C16"/>
    <mergeCell ref="E16:F16"/>
    <mergeCell ref="B23:C23"/>
    <mergeCell ref="E23:F23"/>
    <mergeCell ref="B24:C24"/>
    <mergeCell ref="E24:F24"/>
    <mergeCell ref="B25:C25"/>
    <mergeCell ref="E25:F25"/>
    <mergeCell ref="B20:C20"/>
    <mergeCell ref="E20:F20"/>
    <mergeCell ref="B21:C21"/>
    <mergeCell ref="E21:F21"/>
    <mergeCell ref="B22:C22"/>
    <mergeCell ref="E22:F22"/>
    <mergeCell ref="B29:C29"/>
    <mergeCell ref="E29:F29"/>
    <mergeCell ref="B30:C30"/>
    <mergeCell ref="E30:F30"/>
    <mergeCell ref="B31:C31"/>
    <mergeCell ref="E31:F31"/>
    <mergeCell ref="B26:C26"/>
    <mergeCell ref="E26:F26"/>
    <mergeCell ref="B27:C27"/>
    <mergeCell ref="E27:F27"/>
    <mergeCell ref="B28:C28"/>
    <mergeCell ref="E28:F28"/>
    <mergeCell ref="B35:C35"/>
    <mergeCell ref="E35:F35"/>
    <mergeCell ref="B36:C36"/>
    <mergeCell ref="E36:F36"/>
    <mergeCell ref="B37:C37"/>
    <mergeCell ref="E37:F37"/>
    <mergeCell ref="B32:C32"/>
    <mergeCell ref="E32:F32"/>
    <mergeCell ref="B33:C33"/>
    <mergeCell ref="E33:F33"/>
    <mergeCell ref="B34:C34"/>
    <mergeCell ref="E34:F34"/>
    <mergeCell ref="B41:C41"/>
    <mergeCell ref="E41:F41"/>
    <mergeCell ref="B42:C42"/>
    <mergeCell ref="E42:F42"/>
    <mergeCell ref="B43:C43"/>
    <mergeCell ref="E43:F43"/>
    <mergeCell ref="B38:C38"/>
    <mergeCell ref="E38:F38"/>
    <mergeCell ref="B39:C39"/>
    <mergeCell ref="E39:F39"/>
    <mergeCell ref="B40:C40"/>
    <mergeCell ref="E40:F40"/>
    <mergeCell ref="B47:C47"/>
    <mergeCell ref="E47:F47"/>
    <mergeCell ref="B48:C48"/>
    <mergeCell ref="E48:F48"/>
    <mergeCell ref="B49:C49"/>
    <mergeCell ref="E49:F49"/>
    <mergeCell ref="B44:C44"/>
    <mergeCell ref="E44:F44"/>
    <mergeCell ref="B45:C45"/>
    <mergeCell ref="E45:F45"/>
    <mergeCell ref="B46:C46"/>
    <mergeCell ref="E46:F46"/>
    <mergeCell ref="B53:C53"/>
    <mergeCell ref="E53:F53"/>
    <mergeCell ref="B54:C54"/>
    <mergeCell ref="E54:F54"/>
    <mergeCell ref="B55:C55"/>
    <mergeCell ref="E55:F55"/>
    <mergeCell ref="B50:C50"/>
    <mergeCell ref="E50:F50"/>
    <mergeCell ref="B51:C51"/>
    <mergeCell ref="E51:F51"/>
    <mergeCell ref="B52:C52"/>
    <mergeCell ref="E52:F52"/>
    <mergeCell ref="B59:C59"/>
    <mergeCell ref="E59:F59"/>
    <mergeCell ref="B60:C60"/>
    <mergeCell ref="E60:F60"/>
    <mergeCell ref="B61:C61"/>
    <mergeCell ref="E61:F61"/>
    <mergeCell ref="B56:C56"/>
    <mergeCell ref="E56:F56"/>
    <mergeCell ref="B57:C57"/>
    <mergeCell ref="E57:F57"/>
    <mergeCell ref="B58:C58"/>
    <mergeCell ref="E58:F58"/>
  </mergeCells>
  <dataValidations count="2">
    <dataValidation errorStyle="warning" operator="lessThanOrEqual" allowBlank="1" showInputMessage="1" showErrorMessage="1" errorTitle="Invalid Date" error="The entered date is in the future or is not in the dd/mm/yyyy format" sqref="D6:D61"/>
    <dataValidation type="list" allowBlank="1" showInputMessage="1" showErrorMessage="1" sqref="D62:D63 E6:E61">
      <formula1>CURRENCY</formula1>
    </dataValidation>
  </dataValidations>
  <pageMargins left="0.7" right="0.7" top="0.75" bottom="0.75" header="0.3" footer="0.3"/>
  <pageSetup orientation="portrait" r:id="rId1"/>
  <headerFooter>
    <oddFooter>&amp;LRESTRICTED</oddFooter>
    <evenFooter>&amp;LRESTRICTED</evenFooter>
    <firstFooter>&amp;LRESTRICTED</first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References!$F$1:$F$3</xm:f>
          </x14:formula1>
          <xm:sqref>B6:B63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J61"/>
  <sheetViews>
    <sheetView showGridLines="0" showRowColHeaders="0" zoomScale="120" zoomScaleNormal="120" workbookViewId="0">
      <selection activeCell="B5" sqref="B5:J6"/>
    </sheetView>
  </sheetViews>
  <sheetFormatPr defaultRowHeight="15" x14ac:dyDescent="0.25"/>
  <cols>
    <col min="1" max="1" width="5.28515625" customWidth="1"/>
    <col min="2" max="2" width="17.140625" customWidth="1"/>
    <col min="3" max="3" width="9.42578125" customWidth="1"/>
    <col min="4" max="4" width="16.5703125" customWidth="1"/>
    <col min="5" max="5" width="11.7109375" customWidth="1"/>
    <col min="6" max="6" width="10.5703125" customWidth="1"/>
    <col min="7" max="7" width="15.28515625" customWidth="1"/>
    <col min="8" max="8" width="21.140625" customWidth="1"/>
    <col min="9" max="9" width="24" customWidth="1"/>
    <col min="10" max="10" width="24.5703125" customWidth="1"/>
  </cols>
  <sheetData>
    <row r="2" spans="2:10" x14ac:dyDescent="0.25">
      <c r="D2" s="207" t="s">
        <v>117</v>
      </c>
      <c r="E2" s="207"/>
      <c r="F2" s="207"/>
      <c r="G2" s="207"/>
      <c r="H2" s="207"/>
      <c r="I2" s="207"/>
      <c r="J2" s="207"/>
    </row>
    <row r="3" spans="2:10" x14ac:dyDescent="0.25">
      <c r="D3" s="207"/>
      <c r="E3" s="207"/>
      <c r="F3" s="207"/>
      <c r="G3" s="207"/>
      <c r="H3" s="207"/>
      <c r="I3" s="207"/>
      <c r="J3" s="207"/>
    </row>
    <row r="4" spans="2:10" ht="18.75" x14ac:dyDescent="0.3">
      <c r="B4" s="204" t="s">
        <v>67</v>
      </c>
      <c r="C4" s="204"/>
      <c r="D4" s="204"/>
      <c r="E4" s="204"/>
      <c r="F4" s="204"/>
      <c r="G4" s="204"/>
      <c r="H4" s="204"/>
      <c r="I4" s="204"/>
      <c r="J4" s="204"/>
    </row>
    <row r="5" spans="2:10" ht="26.25" x14ac:dyDescent="0.25">
      <c r="B5" s="208" t="s">
        <v>68</v>
      </c>
      <c r="C5" s="209"/>
      <c r="D5" s="59" t="s">
        <v>115</v>
      </c>
      <c r="E5" s="208" t="s">
        <v>14</v>
      </c>
      <c r="F5" s="209"/>
      <c r="G5" s="58" t="s">
        <v>9</v>
      </c>
      <c r="H5" s="58" t="s">
        <v>27</v>
      </c>
      <c r="I5" s="58" t="s">
        <v>69</v>
      </c>
      <c r="J5" s="58" t="s">
        <v>59</v>
      </c>
    </row>
    <row r="6" spans="2:10" ht="15" customHeight="1" x14ac:dyDescent="0.25">
      <c r="B6" s="202"/>
      <c r="C6" s="203"/>
      <c r="D6" s="95"/>
      <c r="E6" s="202"/>
      <c r="F6" s="203"/>
      <c r="G6" s="88">
        <v>0</v>
      </c>
      <c r="H6" s="88"/>
      <c r="I6" s="88"/>
      <c r="J6" s="88"/>
    </row>
    <row r="7" spans="2:10" x14ac:dyDescent="0.25">
      <c r="B7" s="202"/>
      <c r="C7" s="203"/>
      <c r="D7" s="95"/>
      <c r="E7" s="202"/>
      <c r="F7" s="203"/>
      <c r="G7" s="88"/>
      <c r="H7" s="88"/>
      <c r="I7" s="88"/>
      <c r="J7" s="86"/>
    </row>
    <row r="8" spans="2:10" x14ac:dyDescent="0.25">
      <c r="B8" s="202"/>
      <c r="C8" s="203"/>
      <c r="D8" s="95"/>
      <c r="E8" s="202"/>
      <c r="F8" s="203"/>
      <c r="G8" s="88"/>
      <c r="H8" s="88"/>
      <c r="I8" s="88"/>
      <c r="J8" s="86"/>
    </row>
    <row r="9" spans="2:10" x14ac:dyDescent="0.25">
      <c r="B9" s="202"/>
      <c r="C9" s="203"/>
      <c r="D9" s="95"/>
      <c r="E9" s="202"/>
      <c r="F9" s="203"/>
      <c r="G9" s="88"/>
      <c r="H9" s="88"/>
      <c r="I9" s="88"/>
      <c r="J9" s="86"/>
    </row>
    <row r="10" spans="2:10" x14ac:dyDescent="0.25">
      <c r="B10" s="202"/>
      <c r="C10" s="203"/>
      <c r="D10" s="95"/>
      <c r="E10" s="202"/>
      <c r="F10" s="203"/>
      <c r="G10" s="88"/>
      <c r="H10" s="88"/>
      <c r="I10" s="88"/>
      <c r="J10" s="86"/>
    </row>
    <row r="11" spans="2:10" x14ac:dyDescent="0.25">
      <c r="B11" s="202"/>
      <c r="C11" s="203"/>
      <c r="D11" s="95"/>
      <c r="E11" s="202"/>
      <c r="F11" s="203"/>
      <c r="G11" s="88"/>
      <c r="H11" s="88"/>
      <c r="I11" s="88"/>
      <c r="J11" s="86"/>
    </row>
    <row r="12" spans="2:10" x14ac:dyDescent="0.25">
      <c r="B12" s="202"/>
      <c r="C12" s="203"/>
      <c r="D12" s="95"/>
      <c r="E12" s="202"/>
      <c r="F12" s="203"/>
      <c r="G12" s="88"/>
      <c r="H12" s="88"/>
      <c r="I12" s="88"/>
      <c r="J12" s="86"/>
    </row>
    <row r="13" spans="2:10" x14ac:dyDescent="0.25">
      <c r="B13" s="202"/>
      <c r="C13" s="203"/>
      <c r="D13" s="95"/>
      <c r="E13" s="202"/>
      <c r="F13" s="203"/>
      <c r="G13" s="88"/>
      <c r="H13" s="88"/>
      <c r="I13" s="88"/>
      <c r="J13" s="86"/>
    </row>
    <row r="14" spans="2:10" x14ac:dyDescent="0.25">
      <c r="B14" s="202"/>
      <c r="C14" s="203"/>
      <c r="D14" s="95"/>
      <c r="E14" s="202"/>
      <c r="F14" s="203"/>
      <c r="G14" s="88"/>
      <c r="H14" s="88"/>
      <c r="I14" s="88"/>
      <c r="J14" s="86"/>
    </row>
    <row r="15" spans="2:10" x14ac:dyDescent="0.25">
      <c r="B15" s="202"/>
      <c r="C15" s="203"/>
      <c r="D15" s="95"/>
      <c r="E15" s="202"/>
      <c r="F15" s="203"/>
      <c r="G15" s="88"/>
      <c r="H15" s="88"/>
      <c r="I15" s="88"/>
      <c r="J15" s="86"/>
    </row>
    <row r="16" spans="2:10" x14ac:dyDescent="0.25">
      <c r="B16" s="202"/>
      <c r="C16" s="203"/>
      <c r="D16" s="95"/>
      <c r="E16" s="202"/>
      <c r="F16" s="203"/>
      <c r="G16" s="88"/>
      <c r="H16" s="88"/>
      <c r="I16" s="88"/>
      <c r="J16" s="86"/>
    </row>
    <row r="17" spans="2:10" x14ac:dyDescent="0.25">
      <c r="B17" s="202"/>
      <c r="C17" s="203"/>
      <c r="D17" s="95"/>
      <c r="E17" s="202"/>
      <c r="F17" s="203"/>
      <c r="G17" s="88"/>
      <c r="H17" s="88"/>
      <c r="I17" s="88"/>
      <c r="J17" s="86"/>
    </row>
    <row r="18" spans="2:10" x14ac:dyDescent="0.25">
      <c r="B18" s="202"/>
      <c r="C18" s="203"/>
      <c r="D18" s="95"/>
      <c r="E18" s="202"/>
      <c r="F18" s="203"/>
      <c r="G18" s="88"/>
      <c r="H18" s="88"/>
      <c r="I18" s="88"/>
      <c r="J18" s="86"/>
    </row>
    <row r="19" spans="2:10" x14ac:dyDescent="0.25">
      <c r="B19" s="202"/>
      <c r="C19" s="203"/>
      <c r="D19" s="95"/>
      <c r="E19" s="202"/>
      <c r="F19" s="203"/>
      <c r="G19" s="88"/>
      <c r="H19" s="88"/>
      <c r="I19" s="88"/>
      <c r="J19" s="86"/>
    </row>
    <row r="20" spans="2:10" x14ac:dyDescent="0.25">
      <c r="B20" s="202"/>
      <c r="C20" s="203"/>
      <c r="D20" s="95"/>
      <c r="E20" s="202"/>
      <c r="F20" s="203"/>
      <c r="G20" s="88"/>
      <c r="H20" s="88"/>
      <c r="I20" s="88"/>
      <c r="J20" s="86"/>
    </row>
    <row r="21" spans="2:10" x14ac:dyDescent="0.25">
      <c r="B21" s="202"/>
      <c r="C21" s="203"/>
      <c r="D21" s="95"/>
      <c r="E21" s="202"/>
      <c r="F21" s="203"/>
      <c r="G21" s="88"/>
      <c r="H21" s="88"/>
      <c r="I21" s="88"/>
      <c r="J21" s="86"/>
    </row>
    <row r="22" spans="2:10" x14ac:dyDescent="0.25">
      <c r="B22" s="202"/>
      <c r="C22" s="203"/>
      <c r="D22" s="95"/>
      <c r="E22" s="202"/>
      <c r="F22" s="203"/>
      <c r="G22" s="88"/>
      <c r="H22" s="88"/>
      <c r="I22" s="88"/>
      <c r="J22" s="86"/>
    </row>
    <row r="23" spans="2:10" x14ac:dyDescent="0.25">
      <c r="B23" s="202"/>
      <c r="C23" s="203"/>
      <c r="D23" s="95"/>
      <c r="E23" s="202"/>
      <c r="F23" s="203"/>
      <c r="G23" s="88"/>
      <c r="H23" s="88"/>
      <c r="I23" s="88"/>
      <c r="J23" s="86"/>
    </row>
    <row r="24" spans="2:10" x14ac:dyDescent="0.25">
      <c r="B24" s="202"/>
      <c r="C24" s="203"/>
      <c r="D24" s="95"/>
      <c r="E24" s="202"/>
      <c r="F24" s="203"/>
      <c r="G24" s="88"/>
      <c r="H24" s="88"/>
      <c r="I24" s="88"/>
      <c r="J24" s="86"/>
    </row>
    <row r="25" spans="2:10" x14ac:dyDescent="0.25">
      <c r="B25" s="202"/>
      <c r="C25" s="203"/>
      <c r="D25" s="95"/>
      <c r="E25" s="202"/>
      <c r="F25" s="203"/>
      <c r="G25" s="88"/>
      <c r="H25" s="88"/>
      <c r="I25" s="88"/>
      <c r="J25" s="86"/>
    </row>
    <row r="26" spans="2:10" x14ac:dyDescent="0.25">
      <c r="B26" s="202"/>
      <c r="C26" s="203"/>
      <c r="D26" s="95"/>
      <c r="E26" s="202"/>
      <c r="F26" s="203"/>
      <c r="G26" s="88"/>
      <c r="H26" s="88"/>
      <c r="I26" s="88"/>
      <c r="J26" s="86"/>
    </row>
    <row r="27" spans="2:10" x14ac:dyDescent="0.25">
      <c r="B27" s="202"/>
      <c r="C27" s="203"/>
      <c r="D27" s="95"/>
      <c r="E27" s="202"/>
      <c r="F27" s="203"/>
      <c r="G27" s="88"/>
      <c r="H27" s="88"/>
      <c r="I27" s="88"/>
      <c r="J27" s="86"/>
    </row>
    <row r="28" spans="2:10" x14ac:dyDescent="0.25">
      <c r="B28" s="202"/>
      <c r="C28" s="203"/>
      <c r="D28" s="95"/>
      <c r="E28" s="202"/>
      <c r="F28" s="203"/>
      <c r="G28" s="88"/>
      <c r="H28" s="88"/>
      <c r="I28" s="88"/>
      <c r="J28" s="86"/>
    </row>
    <row r="29" spans="2:10" x14ac:dyDescent="0.25">
      <c r="B29" s="202"/>
      <c r="C29" s="203"/>
      <c r="D29" s="95"/>
      <c r="E29" s="202"/>
      <c r="F29" s="203"/>
      <c r="G29" s="88"/>
      <c r="H29" s="88"/>
      <c r="I29" s="88"/>
      <c r="J29" s="86"/>
    </row>
    <row r="30" spans="2:10" x14ac:dyDescent="0.25">
      <c r="B30" s="202"/>
      <c r="C30" s="203"/>
      <c r="D30" s="95"/>
      <c r="E30" s="202"/>
      <c r="F30" s="203"/>
      <c r="G30" s="88"/>
      <c r="H30" s="88"/>
      <c r="I30" s="88"/>
      <c r="J30" s="86"/>
    </row>
    <row r="31" spans="2:10" x14ac:dyDescent="0.25">
      <c r="B31" s="202"/>
      <c r="C31" s="203"/>
      <c r="D31" s="95"/>
      <c r="E31" s="202"/>
      <c r="F31" s="203"/>
      <c r="G31" s="88"/>
      <c r="H31" s="88"/>
      <c r="I31" s="88"/>
      <c r="J31" s="86"/>
    </row>
    <row r="32" spans="2:10" x14ac:dyDescent="0.25">
      <c r="B32" s="202"/>
      <c r="C32" s="203"/>
      <c r="D32" s="95"/>
      <c r="E32" s="202"/>
      <c r="F32" s="203"/>
      <c r="G32" s="88"/>
      <c r="H32" s="88"/>
      <c r="I32" s="88"/>
      <c r="J32" s="86"/>
    </row>
    <row r="33" spans="2:10" x14ac:dyDescent="0.25">
      <c r="B33" s="202"/>
      <c r="C33" s="203"/>
      <c r="D33" s="95"/>
      <c r="E33" s="202"/>
      <c r="F33" s="203"/>
      <c r="G33" s="88"/>
      <c r="H33" s="88"/>
      <c r="I33" s="88"/>
      <c r="J33" s="86"/>
    </row>
    <row r="34" spans="2:10" x14ac:dyDescent="0.25">
      <c r="B34" s="202"/>
      <c r="C34" s="203"/>
      <c r="D34" s="95"/>
      <c r="E34" s="202"/>
      <c r="F34" s="203"/>
      <c r="G34" s="88"/>
      <c r="H34" s="88"/>
      <c r="I34" s="88"/>
      <c r="J34" s="86"/>
    </row>
    <row r="35" spans="2:10" x14ac:dyDescent="0.25">
      <c r="B35" s="202"/>
      <c r="C35" s="203"/>
      <c r="D35" s="95"/>
      <c r="E35" s="202"/>
      <c r="F35" s="203"/>
      <c r="G35" s="88"/>
      <c r="H35" s="88"/>
      <c r="I35" s="88"/>
      <c r="J35" s="86"/>
    </row>
    <row r="36" spans="2:10" x14ac:dyDescent="0.25">
      <c r="B36" s="202"/>
      <c r="C36" s="203"/>
      <c r="D36" s="95"/>
      <c r="E36" s="202"/>
      <c r="F36" s="203"/>
      <c r="G36" s="88"/>
      <c r="H36" s="88"/>
      <c r="I36" s="88"/>
      <c r="J36" s="86"/>
    </row>
    <row r="37" spans="2:10" x14ac:dyDescent="0.25">
      <c r="B37" s="202"/>
      <c r="C37" s="203"/>
      <c r="D37" s="95"/>
      <c r="E37" s="202"/>
      <c r="F37" s="203"/>
      <c r="G37" s="88"/>
      <c r="H37" s="88"/>
      <c r="I37" s="88"/>
      <c r="J37" s="86"/>
    </row>
    <row r="38" spans="2:10" x14ac:dyDescent="0.25">
      <c r="B38" s="202"/>
      <c r="C38" s="203"/>
      <c r="D38" s="95"/>
      <c r="E38" s="202"/>
      <c r="F38" s="203"/>
      <c r="G38" s="88"/>
      <c r="H38" s="88"/>
      <c r="I38" s="88"/>
      <c r="J38" s="86"/>
    </row>
    <row r="39" spans="2:10" x14ac:dyDescent="0.25">
      <c r="B39" s="202"/>
      <c r="C39" s="203"/>
      <c r="D39" s="95"/>
      <c r="E39" s="202"/>
      <c r="F39" s="203"/>
      <c r="G39" s="88"/>
      <c r="H39" s="88"/>
      <c r="I39" s="88"/>
      <c r="J39" s="86"/>
    </row>
    <row r="40" spans="2:10" x14ac:dyDescent="0.25">
      <c r="B40" s="202"/>
      <c r="C40" s="203"/>
      <c r="D40" s="95"/>
      <c r="E40" s="202"/>
      <c r="F40" s="203"/>
      <c r="G40" s="88"/>
      <c r="H40" s="88"/>
      <c r="I40" s="88"/>
      <c r="J40" s="86"/>
    </row>
    <row r="41" spans="2:10" x14ac:dyDescent="0.25">
      <c r="B41" s="202"/>
      <c r="C41" s="203"/>
      <c r="D41" s="95"/>
      <c r="E41" s="202"/>
      <c r="F41" s="203"/>
      <c r="G41" s="88"/>
      <c r="H41" s="88"/>
      <c r="I41" s="88"/>
      <c r="J41" s="86"/>
    </row>
    <row r="42" spans="2:10" x14ac:dyDescent="0.25">
      <c r="B42" s="202"/>
      <c r="C42" s="203"/>
      <c r="D42" s="95"/>
      <c r="E42" s="202"/>
      <c r="F42" s="203"/>
      <c r="G42" s="88"/>
      <c r="H42" s="88"/>
      <c r="I42" s="88"/>
      <c r="J42" s="86"/>
    </row>
    <row r="43" spans="2:10" x14ac:dyDescent="0.25">
      <c r="B43" s="202"/>
      <c r="C43" s="203"/>
      <c r="D43" s="95"/>
      <c r="E43" s="202"/>
      <c r="F43" s="203"/>
      <c r="G43" s="88"/>
      <c r="H43" s="88"/>
      <c r="I43" s="88"/>
      <c r="J43" s="86"/>
    </row>
    <row r="44" spans="2:10" x14ac:dyDescent="0.25">
      <c r="B44" s="202"/>
      <c r="C44" s="203"/>
      <c r="D44" s="95"/>
      <c r="E44" s="202"/>
      <c r="F44" s="203"/>
      <c r="G44" s="88"/>
      <c r="H44" s="88"/>
      <c r="I44" s="88"/>
      <c r="J44" s="86"/>
    </row>
    <row r="45" spans="2:10" x14ac:dyDescent="0.25">
      <c r="B45" s="202"/>
      <c r="C45" s="203"/>
      <c r="D45" s="95"/>
      <c r="E45" s="202"/>
      <c r="F45" s="203"/>
      <c r="G45" s="88"/>
      <c r="H45" s="88"/>
      <c r="I45" s="88"/>
      <c r="J45" s="86"/>
    </row>
    <row r="46" spans="2:10" x14ac:dyDescent="0.25">
      <c r="B46" s="202"/>
      <c r="C46" s="203"/>
      <c r="D46" s="95"/>
      <c r="E46" s="202"/>
      <c r="F46" s="203"/>
      <c r="G46" s="88"/>
      <c r="H46" s="88"/>
      <c r="I46" s="88"/>
      <c r="J46" s="86"/>
    </row>
    <row r="47" spans="2:10" x14ac:dyDescent="0.25">
      <c r="B47" s="202"/>
      <c r="C47" s="203"/>
      <c r="D47" s="95"/>
      <c r="E47" s="202"/>
      <c r="F47" s="203"/>
      <c r="G47" s="88"/>
      <c r="H47" s="88"/>
      <c r="I47" s="88"/>
      <c r="J47" s="86"/>
    </row>
    <row r="48" spans="2:10" x14ac:dyDescent="0.25">
      <c r="B48" s="202"/>
      <c r="C48" s="203"/>
      <c r="D48" s="95"/>
      <c r="E48" s="202"/>
      <c r="F48" s="203"/>
      <c r="G48" s="88"/>
      <c r="H48" s="88"/>
      <c r="I48" s="88"/>
      <c r="J48" s="86"/>
    </row>
    <row r="49" spans="2:10" x14ac:dyDescent="0.25">
      <c r="B49" s="202"/>
      <c r="C49" s="203"/>
      <c r="D49" s="95"/>
      <c r="E49" s="202"/>
      <c r="F49" s="203"/>
      <c r="G49" s="88"/>
      <c r="H49" s="88"/>
      <c r="I49" s="88"/>
      <c r="J49" s="86"/>
    </row>
    <row r="50" spans="2:10" x14ac:dyDescent="0.25">
      <c r="B50" s="202"/>
      <c r="C50" s="203"/>
      <c r="D50" s="95"/>
      <c r="E50" s="202"/>
      <c r="F50" s="203"/>
      <c r="G50" s="88"/>
      <c r="H50" s="88"/>
      <c r="I50" s="88"/>
      <c r="J50" s="86"/>
    </row>
    <row r="51" spans="2:10" x14ac:dyDescent="0.25">
      <c r="B51" s="202"/>
      <c r="C51" s="203"/>
      <c r="D51" s="95"/>
      <c r="E51" s="202"/>
      <c r="F51" s="203"/>
      <c r="G51" s="88"/>
      <c r="H51" s="88"/>
      <c r="I51" s="88"/>
      <c r="J51" s="86"/>
    </row>
    <row r="52" spans="2:10" x14ac:dyDescent="0.25">
      <c r="B52" s="202"/>
      <c r="C52" s="203"/>
      <c r="D52" s="95"/>
      <c r="E52" s="202"/>
      <c r="F52" s="203"/>
      <c r="G52" s="88"/>
      <c r="H52" s="88"/>
      <c r="I52" s="88"/>
      <c r="J52" s="86"/>
    </row>
    <row r="53" spans="2:10" x14ac:dyDescent="0.25">
      <c r="B53" s="202"/>
      <c r="C53" s="203"/>
      <c r="D53" s="95"/>
      <c r="E53" s="202"/>
      <c r="F53" s="203"/>
      <c r="G53" s="88"/>
      <c r="H53" s="88"/>
      <c r="I53" s="88"/>
      <c r="J53" s="86"/>
    </row>
    <row r="54" spans="2:10" x14ac:dyDescent="0.25">
      <c r="B54" s="202"/>
      <c r="C54" s="203"/>
      <c r="D54" s="95"/>
      <c r="E54" s="202"/>
      <c r="F54" s="203"/>
      <c r="G54" s="88"/>
      <c r="H54" s="88"/>
      <c r="I54" s="88"/>
      <c r="J54" s="86"/>
    </row>
    <row r="55" spans="2:10" x14ac:dyDescent="0.25">
      <c r="B55" s="202"/>
      <c r="C55" s="203"/>
      <c r="D55" s="95"/>
      <c r="E55" s="202"/>
      <c r="F55" s="203"/>
      <c r="G55" s="88"/>
      <c r="H55" s="88"/>
      <c r="I55" s="88"/>
      <c r="J55" s="86"/>
    </row>
    <row r="56" spans="2:10" x14ac:dyDescent="0.25">
      <c r="B56" s="202"/>
      <c r="C56" s="203"/>
      <c r="D56" s="95"/>
      <c r="E56" s="202"/>
      <c r="F56" s="203"/>
      <c r="G56" s="88"/>
      <c r="H56" s="88"/>
      <c r="I56" s="88"/>
      <c r="J56" s="86"/>
    </row>
    <row r="57" spans="2:10" x14ac:dyDescent="0.25">
      <c r="B57" s="202"/>
      <c r="C57" s="203"/>
      <c r="D57" s="95"/>
      <c r="E57" s="202"/>
      <c r="F57" s="203"/>
      <c r="G57" s="88"/>
      <c r="H57" s="88"/>
      <c r="I57" s="88"/>
      <c r="J57" s="86"/>
    </row>
    <row r="58" spans="2:10" x14ac:dyDescent="0.25">
      <c r="B58" s="202"/>
      <c r="C58" s="203"/>
      <c r="D58" s="95"/>
      <c r="E58" s="202"/>
      <c r="F58" s="203"/>
      <c r="G58" s="88"/>
      <c r="H58" s="88"/>
      <c r="I58" s="88"/>
      <c r="J58" s="86"/>
    </row>
    <row r="59" spans="2:10" x14ac:dyDescent="0.25">
      <c r="B59" s="202"/>
      <c r="C59" s="203"/>
      <c r="D59" s="95"/>
      <c r="E59" s="202"/>
      <c r="F59" s="203"/>
      <c r="G59" s="88"/>
      <c r="H59" s="88"/>
      <c r="I59" s="88"/>
      <c r="J59" s="86"/>
    </row>
    <row r="60" spans="2:10" x14ac:dyDescent="0.25">
      <c r="B60" s="202"/>
      <c r="C60" s="203"/>
      <c r="D60" s="95"/>
      <c r="E60" s="202"/>
      <c r="F60" s="203"/>
      <c r="G60" s="88"/>
      <c r="H60" s="88"/>
      <c r="I60" s="88"/>
      <c r="J60" s="86"/>
    </row>
    <row r="61" spans="2:10" x14ac:dyDescent="0.25">
      <c r="B61" s="202"/>
      <c r="C61" s="203"/>
      <c r="D61" s="95"/>
      <c r="E61" s="202"/>
      <c r="F61" s="203"/>
      <c r="G61" s="88"/>
      <c r="H61" s="88"/>
      <c r="I61" s="88"/>
      <c r="J61" s="86"/>
    </row>
  </sheetData>
  <sheetProtection password="83AF" sheet="1" scenarios="1" selectLockedCells="1"/>
  <mergeCells count="116">
    <mergeCell ref="D2:J3"/>
    <mergeCell ref="B4:J4"/>
    <mergeCell ref="B5:C5"/>
    <mergeCell ref="E5:F5"/>
    <mergeCell ref="B6:C6"/>
    <mergeCell ref="E6:F6"/>
    <mergeCell ref="B10:C10"/>
    <mergeCell ref="E10:F10"/>
    <mergeCell ref="B11:C11"/>
    <mergeCell ref="E11:F11"/>
    <mergeCell ref="B12:C12"/>
    <mergeCell ref="E12:F12"/>
    <mergeCell ref="B7:C7"/>
    <mergeCell ref="E7:F7"/>
    <mergeCell ref="B8:C8"/>
    <mergeCell ref="E8:F8"/>
    <mergeCell ref="B9:C9"/>
    <mergeCell ref="E9:F9"/>
    <mergeCell ref="B16:C16"/>
    <mergeCell ref="E16:F16"/>
    <mergeCell ref="B17:C17"/>
    <mergeCell ref="E17:F17"/>
    <mergeCell ref="B18:C18"/>
    <mergeCell ref="E18:F18"/>
    <mergeCell ref="B13:C13"/>
    <mergeCell ref="E13:F13"/>
    <mergeCell ref="B14:C14"/>
    <mergeCell ref="E14:F14"/>
    <mergeCell ref="B15:C15"/>
    <mergeCell ref="E15:F15"/>
    <mergeCell ref="B22:C22"/>
    <mergeCell ref="E22:F22"/>
    <mergeCell ref="B23:C23"/>
    <mergeCell ref="E23:F23"/>
    <mergeCell ref="B24:C24"/>
    <mergeCell ref="E24:F24"/>
    <mergeCell ref="B19:C19"/>
    <mergeCell ref="E19:F19"/>
    <mergeCell ref="B20:C20"/>
    <mergeCell ref="E20:F20"/>
    <mergeCell ref="B21:C21"/>
    <mergeCell ref="E21:F21"/>
    <mergeCell ref="B28:C28"/>
    <mergeCell ref="E28:F28"/>
    <mergeCell ref="B29:C29"/>
    <mergeCell ref="E29:F29"/>
    <mergeCell ref="B30:C30"/>
    <mergeCell ref="E30:F30"/>
    <mergeCell ref="B25:C25"/>
    <mergeCell ref="E25:F25"/>
    <mergeCell ref="B26:C26"/>
    <mergeCell ref="E26:F26"/>
    <mergeCell ref="B27:C27"/>
    <mergeCell ref="E27:F27"/>
    <mergeCell ref="B34:C34"/>
    <mergeCell ref="E34:F34"/>
    <mergeCell ref="B35:C35"/>
    <mergeCell ref="E35:F35"/>
    <mergeCell ref="B36:C36"/>
    <mergeCell ref="E36:F36"/>
    <mergeCell ref="B31:C31"/>
    <mergeCell ref="E31:F31"/>
    <mergeCell ref="B32:C32"/>
    <mergeCell ref="E32:F32"/>
    <mergeCell ref="B33:C33"/>
    <mergeCell ref="E33:F33"/>
    <mergeCell ref="B40:C40"/>
    <mergeCell ref="E40:F40"/>
    <mergeCell ref="B41:C41"/>
    <mergeCell ref="E41:F41"/>
    <mergeCell ref="B42:C42"/>
    <mergeCell ref="E42:F42"/>
    <mergeCell ref="B37:C37"/>
    <mergeCell ref="E37:F37"/>
    <mergeCell ref="B38:C38"/>
    <mergeCell ref="E38:F38"/>
    <mergeCell ref="B39:C39"/>
    <mergeCell ref="E39:F39"/>
    <mergeCell ref="B46:C46"/>
    <mergeCell ref="E46:F46"/>
    <mergeCell ref="B47:C47"/>
    <mergeCell ref="E47:F47"/>
    <mergeCell ref="B48:C48"/>
    <mergeCell ref="E48:F48"/>
    <mergeCell ref="B43:C43"/>
    <mergeCell ref="E43:F43"/>
    <mergeCell ref="B44:C44"/>
    <mergeCell ref="E44:F44"/>
    <mergeCell ref="B45:C45"/>
    <mergeCell ref="E45:F45"/>
    <mergeCell ref="B52:C52"/>
    <mergeCell ref="E52:F52"/>
    <mergeCell ref="B53:C53"/>
    <mergeCell ref="E53:F53"/>
    <mergeCell ref="B54:C54"/>
    <mergeCell ref="E54:F54"/>
    <mergeCell ref="B49:C49"/>
    <mergeCell ref="E49:F49"/>
    <mergeCell ref="B50:C50"/>
    <mergeCell ref="E50:F50"/>
    <mergeCell ref="B51:C51"/>
    <mergeCell ref="E51:F51"/>
    <mergeCell ref="B61:C61"/>
    <mergeCell ref="E61:F61"/>
    <mergeCell ref="B58:C58"/>
    <mergeCell ref="E58:F58"/>
    <mergeCell ref="B59:C59"/>
    <mergeCell ref="E59:F59"/>
    <mergeCell ref="B60:C60"/>
    <mergeCell ref="E60:F60"/>
    <mergeCell ref="B55:C55"/>
    <mergeCell ref="E55:F55"/>
    <mergeCell ref="B56:C56"/>
    <mergeCell ref="E56:F56"/>
    <mergeCell ref="B57:C57"/>
    <mergeCell ref="E57:F57"/>
  </mergeCells>
  <dataValidations count="2">
    <dataValidation errorStyle="warning" operator="lessThanOrEqual" allowBlank="1" showInputMessage="1" showErrorMessage="1" errorTitle="Invalid Date" error="The entered date is in the future or is not in the dd/mm/yyyy format" sqref="D6:D61"/>
    <dataValidation type="list" allowBlank="1" showInputMessage="1" showErrorMessage="1" sqref="F62:F63 E6:E63">
      <formula1>CURRENCY</formula1>
    </dataValidation>
  </dataValidations>
  <pageMargins left="0.7" right="0.7" top="0.75" bottom="0.75" header="0.3" footer="0.3"/>
  <pageSetup orientation="portrait" r:id="rId1"/>
  <headerFooter>
    <oddFooter>&amp;LRESTRICTED</oddFooter>
    <evenFooter>&amp;LRESTRICTED</evenFooter>
    <firstFooter>&amp;LRESTRICTED</firstFooter>
  </headerFooter>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References!$F$1:$F$3</xm:f>
          </x14:formula1>
          <xm:sqref>B62:C63</xm:sqref>
        </x14:dataValidation>
        <x14:dataValidation type="list" allowBlank="1" showInputMessage="1" showErrorMessage="1">
          <x14:formula1>
            <xm:f>References!$J$1:$J$5</xm:f>
          </x14:formula1>
          <xm:sqref>B6:B61</xm:sqref>
        </x14:dataValidation>
        <x14:dataValidation type="list" allowBlank="1" showInputMessage="1" showErrorMessage="1">
          <x14:formula1>
            <xm:f>References!$H$1:$H$51</xm:f>
          </x14:formula1>
          <xm:sqref>I6:I61</xm:sqref>
        </x14:dataValidation>
        <x14:dataValidation type="list" allowBlank="1" showInputMessage="1" showErrorMessage="1">
          <x14:formula1>
            <xm:f>References!$M$1:$M$5</xm:f>
          </x14:formula1>
          <xm:sqref>H6:H61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O62"/>
  <sheetViews>
    <sheetView showGridLines="0" showRowColHeaders="0" zoomScale="140" zoomScaleNormal="140" workbookViewId="0">
      <selection activeCell="E7" sqref="E7:F7"/>
    </sheetView>
  </sheetViews>
  <sheetFormatPr defaultRowHeight="15" x14ac:dyDescent="0.25"/>
  <cols>
    <col min="1" max="2" width="3.7109375" customWidth="1"/>
    <col min="5" max="5" width="11.28515625" customWidth="1"/>
    <col min="6" max="6" width="13.140625" customWidth="1"/>
    <col min="7" max="7" width="8" customWidth="1"/>
    <col min="8" max="8" width="12.7109375" customWidth="1"/>
    <col min="9" max="9" width="13.140625" customWidth="1"/>
    <col min="10" max="10" width="13.85546875" customWidth="1"/>
    <col min="11" max="11" width="13.28515625" customWidth="1"/>
    <col min="12" max="12" width="3.85546875" customWidth="1"/>
    <col min="13" max="13" width="3.7109375" customWidth="1"/>
  </cols>
  <sheetData>
    <row r="1" spans="2:12" ht="15" customHeight="1" thickBot="1" x14ac:dyDescent="0.3"/>
    <row r="2" spans="2:12" ht="8.25" customHeight="1" x14ac:dyDescent="0.25">
      <c r="B2" s="15"/>
      <c r="C2" s="16"/>
      <c r="D2" s="16"/>
      <c r="E2" s="16"/>
      <c r="F2" s="16"/>
      <c r="G2" s="16"/>
      <c r="H2" s="16"/>
      <c r="I2" s="16"/>
      <c r="J2" s="16"/>
      <c r="K2" s="157">
        <v>3</v>
      </c>
      <c r="L2" s="158"/>
    </row>
    <row r="3" spans="2:12" ht="15.75" x14ac:dyDescent="0.25">
      <c r="B3" s="18"/>
      <c r="C3" s="156" t="s">
        <v>203</v>
      </c>
      <c r="D3" s="156"/>
      <c r="E3" s="156"/>
      <c r="F3" s="156"/>
      <c r="G3" s="156"/>
      <c r="H3" s="156"/>
      <c r="I3" s="156"/>
      <c r="J3" s="156"/>
      <c r="K3" s="159"/>
      <c r="L3" s="160"/>
    </row>
    <row r="4" spans="2:12" x14ac:dyDescent="0.25">
      <c r="B4" s="18"/>
      <c r="C4" s="13"/>
      <c r="D4" s="2"/>
      <c r="E4" s="2"/>
      <c r="F4" s="2"/>
      <c r="G4" s="13" t="s">
        <v>0</v>
      </c>
      <c r="H4" s="2"/>
      <c r="I4" s="2"/>
      <c r="J4" s="2"/>
      <c r="K4" s="2"/>
      <c r="L4" s="19"/>
    </row>
    <row r="5" spans="2:12" x14ac:dyDescent="0.25">
      <c r="B5" s="18"/>
      <c r="C5" s="2"/>
      <c r="D5" s="2"/>
      <c r="E5" s="2"/>
      <c r="F5" s="2"/>
      <c r="G5" s="2"/>
      <c r="H5" s="2"/>
      <c r="I5" s="2"/>
      <c r="J5" s="13" t="s">
        <v>1</v>
      </c>
      <c r="K5" s="95">
        <v>1</v>
      </c>
      <c r="L5" s="19"/>
    </row>
    <row r="6" spans="2:12" ht="15.75" thickBot="1" x14ac:dyDescent="0.3">
      <c r="B6" s="18"/>
      <c r="C6" s="2"/>
      <c r="D6" s="2"/>
      <c r="E6" s="2"/>
      <c r="F6" s="2"/>
      <c r="G6" s="2"/>
      <c r="H6" s="2"/>
      <c r="I6" s="2"/>
      <c r="J6" s="2"/>
      <c r="K6" s="2"/>
      <c r="L6" s="19"/>
    </row>
    <row r="7" spans="2:12" ht="15.75" thickBot="1" x14ac:dyDescent="0.3">
      <c r="B7" s="18"/>
      <c r="C7" s="139" t="s">
        <v>107</v>
      </c>
      <c r="D7" s="139"/>
      <c r="E7" s="154"/>
      <c r="F7" s="155"/>
      <c r="G7" s="13"/>
      <c r="H7" s="13" t="s">
        <v>99</v>
      </c>
      <c r="I7" s="154"/>
      <c r="J7" s="155"/>
      <c r="K7" s="13"/>
      <c r="L7" s="19"/>
    </row>
    <row r="8" spans="2:12" ht="15.75" thickBot="1" x14ac:dyDescent="0.3">
      <c r="B8" s="18"/>
      <c r="C8" s="139" t="s">
        <v>80</v>
      </c>
      <c r="D8" s="139"/>
      <c r="E8" s="154"/>
      <c r="F8" s="155"/>
      <c r="G8" s="13"/>
      <c r="H8" s="20" t="s">
        <v>32</v>
      </c>
      <c r="I8" s="154"/>
      <c r="J8" s="155"/>
      <c r="K8" s="13"/>
      <c r="L8" s="19"/>
    </row>
    <row r="9" spans="2:12" ht="15.75" thickBot="1" x14ac:dyDescent="0.3">
      <c r="B9" s="18"/>
      <c r="C9" s="139" t="s">
        <v>138</v>
      </c>
      <c r="D9" s="139"/>
      <c r="E9" s="154"/>
      <c r="F9" s="155"/>
      <c r="G9" s="13"/>
      <c r="H9" s="20" t="s">
        <v>98</v>
      </c>
      <c r="I9" s="154"/>
      <c r="J9" s="155"/>
      <c r="K9" s="13"/>
      <c r="L9" s="19"/>
    </row>
    <row r="10" spans="2:12" ht="9" customHeight="1" x14ac:dyDescent="0.25">
      <c r="B10" s="18"/>
      <c r="C10" s="2"/>
      <c r="D10" s="2"/>
      <c r="E10" s="1"/>
      <c r="F10" s="1"/>
      <c r="G10" s="2"/>
      <c r="H10" s="2"/>
      <c r="I10" s="2"/>
      <c r="J10" s="2"/>
      <c r="K10" s="2"/>
      <c r="L10" s="19"/>
    </row>
    <row r="11" spans="2:12" ht="15.75" customHeight="1" x14ac:dyDescent="0.25">
      <c r="B11" s="18"/>
      <c r="C11" s="5" t="s">
        <v>195</v>
      </c>
      <c r="D11" s="2"/>
      <c r="E11" s="1"/>
      <c r="F11" s="1"/>
      <c r="G11" s="2"/>
      <c r="H11" s="5"/>
      <c r="I11" s="3"/>
      <c r="J11" s="3"/>
      <c r="K11" s="3"/>
      <c r="L11" s="23"/>
    </row>
    <row r="12" spans="2:12" ht="15" customHeight="1" x14ac:dyDescent="0.25">
      <c r="B12" s="18"/>
      <c r="C12" s="245"/>
      <c r="D12" s="245"/>
      <c r="E12" s="245"/>
      <c r="F12" s="245"/>
      <c r="G12" s="245"/>
      <c r="H12" s="245"/>
      <c r="I12" s="245"/>
      <c r="J12" s="245"/>
      <c r="K12" s="245"/>
      <c r="L12" s="23"/>
    </row>
    <row r="13" spans="2:12" ht="15" customHeight="1" x14ac:dyDescent="0.25">
      <c r="B13" s="18"/>
      <c r="C13" s="245"/>
      <c r="D13" s="245"/>
      <c r="E13" s="245"/>
      <c r="F13" s="245"/>
      <c r="G13" s="245"/>
      <c r="H13" s="245"/>
      <c r="I13" s="245"/>
      <c r="J13" s="245"/>
      <c r="K13" s="245"/>
      <c r="L13" s="23"/>
    </row>
    <row r="14" spans="2:12" ht="15" customHeight="1" x14ac:dyDescent="0.25">
      <c r="B14" s="18"/>
      <c r="C14" s="245"/>
      <c r="D14" s="245"/>
      <c r="E14" s="245"/>
      <c r="F14" s="245"/>
      <c r="G14" s="245"/>
      <c r="H14" s="245"/>
      <c r="I14" s="245"/>
      <c r="J14" s="245"/>
      <c r="K14" s="245"/>
      <c r="L14" s="23"/>
    </row>
    <row r="15" spans="2:12" ht="6" customHeight="1" x14ac:dyDescent="0.25">
      <c r="B15" s="18"/>
      <c r="C15" s="5"/>
      <c r="D15" s="2"/>
      <c r="E15" s="1"/>
      <c r="F15" s="1"/>
      <c r="G15" s="2"/>
      <c r="H15" s="5"/>
      <c r="I15" s="97"/>
      <c r="J15" s="97"/>
      <c r="K15" s="97"/>
      <c r="L15" s="23"/>
    </row>
    <row r="16" spans="2:12" ht="4.5" customHeight="1" x14ac:dyDescent="0.25">
      <c r="B16" s="18"/>
      <c r="C16" s="186"/>
      <c r="D16" s="186"/>
      <c r="E16" s="186"/>
      <c r="F16" s="186"/>
      <c r="G16" s="186"/>
      <c r="H16" s="186"/>
      <c r="I16" s="186"/>
      <c r="J16" s="186"/>
      <c r="K16" s="186"/>
      <c r="L16" s="25"/>
    </row>
    <row r="17" spans="2:12" ht="15" customHeight="1" x14ac:dyDescent="0.25">
      <c r="B17" s="18"/>
      <c r="C17" s="207" t="s">
        <v>117</v>
      </c>
      <c r="D17" s="207"/>
      <c r="E17" s="207"/>
      <c r="F17" s="207"/>
      <c r="G17" s="207"/>
      <c r="H17" s="207"/>
      <c r="I17" s="207"/>
      <c r="J17" s="207"/>
      <c r="K17" s="207"/>
      <c r="L17" s="25"/>
    </row>
    <row r="18" spans="2:12" x14ac:dyDescent="0.25">
      <c r="B18" s="18"/>
      <c r="C18" s="207"/>
      <c r="D18" s="207"/>
      <c r="E18" s="207"/>
      <c r="F18" s="207"/>
      <c r="G18" s="207"/>
      <c r="H18" s="207"/>
      <c r="I18" s="207"/>
      <c r="J18" s="207"/>
      <c r="K18" s="207"/>
      <c r="L18" s="25"/>
    </row>
    <row r="19" spans="2:12" ht="15" customHeight="1" x14ac:dyDescent="0.25">
      <c r="B19" s="18"/>
      <c r="C19" s="64"/>
      <c r="D19" s="64"/>
      <c r="E19" s="64"/>
      <c r="F19" s="64"/>
      <c r="G19" s="64"/>
      <c r="H19" s="64"/>
      <c r="I19" s="64"/>
      <c r="J19" s="24"/>
      <c r="K19" s="24"/>
      <c r="L19" s="25"/>
    </row>
    <row r="20" spans="2:12" ht="24.75" customHeight="1" x14ac:dyDescent="0.25">
      <c r="B20" s="18"/>
      <c r="C20" s="240" t="s">
        <v>68</v>
      </c>
      <c r="D20" s="241"/>
      <c r="E20" s="53" t="s">
        <v>184</v>
      </c>
      <c r="F20" s="243" t="s">
        <v>14</v>
      </c>
      <c r="G20" s="244"/>
      <c r="H20" s="53" t="s">
        <v>9</v>
      </c>
      <c r="I20" s="53" t="s">
        <v>69</v>
      </c>
      <c r="J20" s="246" t="s">
        <v>59</v>
      </c>
      <c r="K20" s="246"/>
      <c r="L20" s="25"/>
    </row>
    <row r="21" spans="2:12" x14ac:dyDescent="0.25">
      <c r="B21" s="18"/>
      <c r="C21" s="238"/>
      <c r="D21" s="242"/>
      <c r="E21" s="95">
        <v>1</v>
      </c>
      <c r="F21" s="238" t="s">
        <v>58</v>
      </c>
      <c r="G21" s="242"/>
      <c r="H21" s="86"/>
      <c r="I21" s="86"/>
      <c r="J21" s="247"/>
      <c r="K21" s="248"/>
      <c r="L21" s="25"/>
    </row>
    <row r="22" spans="2:12" x14ac:dyDescent="0.25">
      <c r="B22" s="18"/>
      <c r="C22" s="238"/>
      <c r="D22" s="239"/>
      <c r="E22" s="95"/>
      <c r="F22" s="238" t="s">
        <v>58</v>
      </c>
      <c r="G22" s="242"/>
      <c r="H22" s="86"/>
      <c r="I22" s="86"/>
      <c r="J22" s="249"/>
      <c r="K22" s="250"/>
      <c r="L22" s="25"/>
    </row>
    <row r="23" spans="2:12" x14ac:dyDescent="0.25">
      <c r="B23" s="18"/>
      <c r="C23" s="238"/>
      <c r="D23" s="239"/>
      <c r="E23" s="95"/>
      <c r="F23" s="238" t="s">
        <v>58</v>
      </c>
      <c r="G23" s="239"/>
      <c r="H23" s="86"/>
      <c r="I23" s="86"/>
      <c r="J23" s="249"/>
      <c r="K23" s="250"/>
      <c r="L23" s="25"/>
    </row>
    <row r="24" spans="2:12" x14ac:dyDescent="0.25">
      <c r="B24" s="18"/>
      <c r="C24" s="238"/>
      <c r="D24" s="239"/>
      <c r="E24" s="95"/>
      <c r="F24" s="238" t="s">
        <v>58</v>
      </c>
      <c r="G24" s="239"/>
      <c r="H24" s="86"/>
      <c r="I24" s="86"/>
      <c r="J24" s="249"/>
      <c r="K24" s="250"/>
      <c r="L24" s="25"/>
    </row>
    <row r="25" spans="2:12" x14ac:dyDescent="0.25">
      <c r="B25" s="18"/>
      <c r="C25" s="238"/>
      <c r="D25" s="239"/>
      <c r="E25" s="95"/>
      <c r="F25" s="238" t="s">
        <v>58</v>
      </c>
      <c r="G25" s="239"/>
      <c r="H25" s="86"/>
      <c r="I25" s="86"/>
      <c r="J25" s="249"/>
      <c r="K25" s="250"/>
      <c r="L25" s="25"/>
    </row>
    <row r="26" spans="2:12" x14ac:dyDescent="0.25">
      <c r="B26" s="18"/>
      <c r="C26" s="238"/>
      <c r="D26" s="239"/>
      <c r="E26" s="95"/>
      <c r="F26" s="238" t="s">
        <v>58</v>
      </c>
      <c r="G26" s="239"/>
      <c r="H26" s="86"/>
      <c r="I26" s="86"/>
      <c r="J26" s="249"/>
      <c r="K26" s="250"/>
      <c r="L26" s="25"/>
    </row>
    <row r="27" spans="2:12" x14ac:dyDescent="0.25">
      <c r="B27" s="18"/>
      <c r="C27" s="238"/>
      <c r="D27" s="239"/>
      <c r="E27" s="95"/>
      <c r="F27" s="238" t="s">
        <v>58</v>
      </c>
      <c r="G27" s="239"/>
      <c r="H27" s="86"/>
      <c r="I27" s="86"/>
      <c r="J27" s="249"/>
      <c r="K27" s="250"/>
      <c r="L27" s="25"/>
    </row>
    <row r="28" spans="2:12" x14ac:dyDescent="0.25">
      <c r="B28" s="18"/>
      <c r="C28" s="238"/>
      <c r="D28" s="239"/>
      <c r="E28" s="95"/>
      <c r="F28" s="238" t="s">
        <v>58</v>
      </c>
      <c r="G28" s="239"/>
      <c r="H28" s="86"/>
      <c r="I28" s="86"/>
      <c r="J28" s="249"/>
      <c r="K28" s="250"/>
      <c r="L28" s="25"/>
    </row>
    <row r="29" spans="2:12" x14ac:dyDescent="0.25">
      <c r="B29" s="18"/>
      <c r="C29" s="238"/>
      <c r="D29" s="239"/>
      <c r="E29" s="95"/>
      <c r="F29" s="238" t="s">
        <v>58</v>
      </c>
      <c r="G29" s="239"/>
      <c r="H29" s="86"/>
      <c r="I29" s="86"/>
      <c r="J29" s="249"/>
      <c r="K29" s="250"/>
      <c r="L29" s="25"/>
    </row>
    <row r="30" spans="2:12" x14ac:dyDescent="0.25">
      <c r="B30" s="18"/>
      <c r="C30" s="238"/>
      <c r="D30" s="239"/>
      <c r="E30" s="95"/>
      <c r="F30" s="238" t="s">
        <v>58</v>
      </c>
      <c r="G30" s="239"/>
      <c r="H30" s="86"/>
      <c r="I30" s="86"/>
      <c r="J30" s="251"/>
      <c r="K30" s="252"/>
      <c r="L30" s="25"/>
    </row>
    <row r="31" spans="2:12" x14ac:dyDescent="0.25">
      <c r="B31" s="18"/>
      <c r="C31" s="13"/>
      <c r="D31" s="36"/>
      <c r="E31" s="36"/>
      <c r="F31" s="36"/>
      <c r="G31" s="13"/>
      <c r="H31" s="13"/>
      <c r="I31" s="13"/>
      <c r="J31" s="13"/>
      <c r="K31" s="13"/>
      <c r="L31" s="19"/>
    </row>
    <row r="32" spans="2:12" x14ac:dyDescent="0.25">
      <c r="B32" s="18"/>
      <c r="C32" s="13"/>
      <c r="D32" s="13"/>
      <c r="E32" s="13"/>
      <c r="F32" s="13"/>
      <c r="G32" s="13"/>
      <c r="H32" s="195" t="s">
        <v>14</v>
      </c>
      <c r="I32" s="196"/>
      <c r="J32" s="110" t="s">
        <v>9</v>
      </c>
      <c r="K32" s="13"/>
      <c r="L32" s="19"/>
    </row>
    <row r="33" spans="2:15" x14ac:dyDescent="0.25">
      <c r="B33" s="18"/>
      <c r="C33" s="13"/>
      <c r="D33" s="195" t="s">
        <v>100</v>
      </c>
      <c r="E33" s="200"/>
      <c r="F33" s="200"/>
      <c r="G33" s="196"/>
      <c r="H33" s="197" t="s">
        <v>58</v>
      </c>
      <c r="I33" s="198"/>
      <c r="J33" s="109">
        <f>SUM(H21:H29)</f>
        <v>0</v>
      </c>
      <c r="K33" s="13"/>
      <c r="L33" s="19"/>
    </row>
    <row r="34" spans="2:15" x14ac:dyDescent="0.25">
      <c r="B34" s="18"/>
      <c r="C34" s="13"/>
      <c r="D34" s="33"/>
      <c r="E34" s="33"/>
      <c r="F34" s="33"/>
      <c r="G34" s="33"/>
      <c r="H34" s="13"/>
      <c r="I34" s="13"/>
      <c r="J34" s="13"/>
      <c r="K34" s="13"/>
      <c r="L34" s="19"/>
      <c r="O34" s="56"/>
    </row>
    <row r="35" spans="2:15" x14ac:dyDescent="0.25">
      <c r="B35" s="18"/>
      <c r="C35" s="190" t="s">
        <v>128</v>
      </c>
      <c r="D35" s="190"/>
      <c r="E35" s="33"/>
      <c r="F35" s="33"/>
      <c r="G35" s="33"/>
      <c r="H35" s="13"/>
      <c r="I35" s="13"/>
      <c r="J35" s="13"/>
      <c r="K35" s="13"/>
      <c r="L35" s="19"/>
      <c r="O35" s="56"/>
    </row>
    <row r="36" spans="2:15" x14ac:dyDescent="0.25">
      <c r="B36" s="18"/>
      <c r="C36" s="13"/>
      <c r="D36" s="139" t="s">
        <v>129</v>
      </c>
      <c r="E36" s="139"/>
      <c r="F36" s="235"/>
      <c r="G36" s="235"/>
      <c r="H36" s="235"/>
      <c r="I36" s="13"/>
      <c r="J36" s="13"/>
      <c r="K36" s="13"/>
      <c r="L36" s="19"/>
      <c r="O36" s="56"/>
    </row>
    <row r="37" spans="2:15" x14ac:dyDescent="0.25">
      <c r="B37" s="18"/>
      <c r="C37" s="13"/>
      <c r="D37" s="139" t="s">
        <v>130</v>
      </c>
      <c r="E37" s="234"/>
      <c r="F37" s="237"/>
      <c r="G37" s="237"/>
      <c r="H37" s="237"/>
      <c r="I37" s="13"/>
      <c r="J37" s="13"/>
      <c r="K37" s="13"/>
      <c r="L37" s="19"/>
      <c r="O37" s="56"/>
    </row>
    <row r="38" spans="2:15" x14ac:dyDescent="0.25">
      <c r="B38" s="18"/>
      <c r="C38" s="13"/>
      <c r="D38" s="139" t="s">
        <v>131</v>
      </c>
      <c r="E38" s="234"/>
      <c r="F38" s="235"/>
      <c r="G38" s="235"/>
      <c r="H38" s="235"/>
      <c r="I38" s="13"/>
      <c r="J38" s="13"/>
      <c r="K38" s="13"/>
      <c r="L38" s="19"/>
      <c r="O38" s="56"/>
    </row>
    <row r="39" spans="2:15" x14ac:dyDescent="0.25">
      <c r="B39" s="18"/>
      <c r="C39" s="13"/>
      <c r="D39" s="139" t="s">
        <v>132</v>
      </c>
      <c r="E39" s="234"/>
      <c r="F39" s="235"/>
      <c r="G39" s="235"/>
      <c r="H39" s="235"/>
      <c r="I39" s="13"/>
      <c r="J39" s="13"/>
      <c r="K39" s="13"/>
      <c r="L39" s="19"/>
      <c r="O39" s="56"/>
    </row>
    <row r="40" spans="2:15" x14ac:dyDescent="0.25">
      <c r="B40" s="39"/>
      <c r="C40" s="10"/>
      <c r="D40" s="10"/>
      <c r="E40" s="10"/>
      <c r="F40" s="10"/>
      <c r="G40" s="10"/>
      <c r="H40" s="10"/>
      <c r="I40" s="10"/>
      <c r="J40" s="10"/>
      <c r="K40" s="10"/>
      <c r="L40" s="22"/>
      <c r="O40" s="56"/>
    </row>
    <row r="41" spans="2:15" x14ac:dyDescent="0.25">
      <c r="B41" s="18"/>
      <c r="C41" s="190" t="s">
        <v>18</v>
      </c>
      <c r="D41" s="190"/>
      <c r="E41" s="13"/>
      <c r="F41" s="13"/>
      <c r="G41" s="13"/>
      <c r="H41" s="13"/>
      <c r="I41" s="13"/>
      <c r="J41" s="13"/>
      <c r="K41" s="13"/>
      <c r="L41" s="19"/>
      <c r="O41" s="54"/>
    </row>
    <row r="42" spans="2:15" ht="16.5" customHeight="1" x14ac:dyDescent="0.25">
      <c r="B42" s="18"/>
      <c r="C42" s="13"/>
      <c r="D42" s="224" t="s">
        <v>106</v>
      </c>
      <c r="E42" s="224"/>
      <c r="F42" s="224"/>
      <c r="G42" s="224"/>
      <c r="H42" s="224"/>
      <c r="I42" s="224"/>
      <c r="J42" s="224"/>
      <c r="K42" s="224"/>
      <c r="L42" s="19"/>
      <c r="O42" s="54"/>
    </row>
    <row r="43" spans="2:15" ht="16.5" customHeight="1" x14ac:dyDescent="0.25">
      <c r="B43" s="18"/>
      <c r="C43" s="13"/>
      <c r="D43" s="34"/>
      <c r="E43" s="34"/>
      <c r="F43" s="34"/>
      <c r="G43" s="34"/>
      <c r="H43" s="34"/>
      <c r="I43" s="34"/>
      <c r="J43" s="34"/>
      <c r="K43" s="34"/>
      <c r="L43" s="19"/>
    </row>
    <row r="44" spans="2:15" x14ac:dyDescent="0.25">
      <c r="B44" s="18"/>
      <c r="C44" s="13"/>
      <c r="D44" s="13"/>
      <c r="E44" s="13"/>
      <c r="F44" s="13"/>
      <c r="G44" s="13"/>
      <c r="H44" s="13"/>
      <c r="I44" s="13"/>
      <c r="J44" s="13"/>
      <c r="K44" s="13"/>
      <c r="L44" s="19"/>
    </row>
    <row r="45" spans="2:15" x14ac:dyDescent="0.25">
      <c r="B45" s="18"/>
      <c r="C45" s="13"/>
      <c r="D45" s="13"/>
      <c r="E45" s="13"/>
      <c r="H45" s="13"/>
      <c r="I45" s="10"/>
      <c r="J45" s="10"/>
      <c r="L45" s="19"/>
    </row>
    <row r="46" spans="2:15" x14ac:dyDescent="0.25">
      <c r="B46" s="18"/>
      <c r="C46" s="43" t="s">
        <v>29</v>
      </c>
      <c r="D46" s="43"/>
      <c r="E46" s="43"/>
      <c r="H46" s="8"/>
      <c r="I46" s="8" t="s">
        <v>20</v>
      </c>
      <c r="J46" s="8"/>
      <c r="L46" s="19"/>
    </row>
    <row r="47" spans="2:15" x14ac:dyDescent="0.25">
      <c r="B47" s="18"/>
      <c r="C47" s="13" t="s">
        <v>186</v>
      </c>
      <c r="D47" s="13"/>
      <c r="E47" s="13" t="str">
        <f>IF(LEN(E7)&gt;0,E7,"")</f>
        <v/>
      </c>
      <c r="H47" s="13"/>
      <c r="I47" s="13" t="s">
        <v>187</v>
      </c>
      <c r="J47" s="13"/>
      <c r="L47" s="19"/>
    </row>
    <row r="48" spans="2:15" x14ac:dyDescent="0.25">
      <c r="B48" s="18"/>
      <c r="C48" s="13" t="s">
        <v>19</v>
      </c>
      <c r="D48" s="13"/>
      <c r="E48" s="13"/>
      <c r="F48" s="13"/>
      <c r="G48" s="13"/>
      <c r="H48" s="13"/>
      <c r="I48" s="13" t="s">
        <v>19</v>
      </c>
      <c r="J48" s="13"/>
      <c r="K48" s="13"/>
      <c r="L48" s="19"/>
    </row>
    <row r="49" spans="2:12" ht="29.25" customHeight="1" x14ac:dyDescent="0.25">
      <c r="B49" s="18"/>
      <c r="C49" s="13"/>
      <c r="D49" s="13"/>
      <c r="E49" s="13"/>
      <c r="F49" s="13"/>
      <c r="G49" s="13"/>
      <c r="H49" s="13"/>
      <c r="I49" s="13"/>
      <c r="J49" s="13"/>
      <c r="K49" s="13"/>
      <c r="L49" s="19"/>
    </row>
    <row r="50" spans="2:12" x14ac:dyDescent="0.25">
      <c r="B50" s="18"/>
      <c r="C50" s="13"/>
      <c r="D50" s="13"/>
      <c r="E50" s="13"/>
      <c r="F50" s="13"/>
      <c r="G50" s="13"/>
      <c r="H50" s="13"/>
      <c r="I50" s="10"/>
      <c r="J50" s="10"/>
      <c r="K50" s="13"/>
      <c r="L50" s="19"/>
    </row>
    <row r="51" spans="2:12" x14ac:dyDescent="0.25">
      <c r="B51" s="18"/>
      <c r="C51" s="43" t="s">
        <v>21</v>
      </c>
      <c r="D51" s="43"/>
      <c r="E51" s="43"/>
      <c r="F51" s="13"/>
      <c r="G51" s="13"/>
      <c r="H51" s="13"/>
      <c r="I51" s="8" t="s">
        <v>118</v>
      </c>
      <c r="J51" s="8"/>
      <c r="K51" s="8"/>
      <c r="L51" s="19"/>
    </row>
    <row r="52" spans="2:12" x14ac:dyDescent="0.25">
      <c r="B52" s="18"/>
      <c r="C52" s="13" t="s">
        <v>19</v>
      </c>
      <c r="D52" s="13"/>
      <c r="E52" s="13"/>
      <c r="F52" s="13"/>
      <c r="G52" s="13"/>
      <c r="H52" s="13"/>
      <c r="I52" s="139" t="s">
        <v>19</v>
      </c>
      <c r="J52" s="139"/>
      <c r="K52" s="139"/>
      <c r="L52" s="19"/>
    </row>
    <row r="53" spans="2:12" x14ac:dyDescent="0.25">
      <c r="B53" s="18"/>
      <c r="C53" s="13"/>
      <c r="D53" s="13"/>
      <c r="E53" s="13"/>
      <c r="F53" s="13"/>
      <c r="G53" s="13"/>
      <c r="H53" s="13"/>
      <c r="I53" s="13"/>
      <c r="J53" s="13"/>
      <c r="K53" s="13"/>
      <c r="L53" s="19"/>
    </row>
    <row r="54" spans="2:12" x14ac:dyDescent="0.25">
      <c r="B54" s="37"/>
      <c r="C54" s="41" t="s">
        <v>31</v>
      </c>
      <c r="D54" s="31"/>
      <c r="E54" s="31"/>
      <c r="F54" s="31"/>
      <c r="G54" s="31"/>
      <c r="H54" s="31"/>
      <c r="I54" s="31"/>
      <c r="J54" s="31"/>
      <c r="K54" s="31"/>
      <c r="L54" s="38"/>
    </row>
    <row r="55" spans="2:12" x14ac:dyDescent="0.25">
      <c r="B55" s="18"/>
      <c r="C55" s="12">
        <v>1</v>
      </c>
      <c r="D55" s="137" t="s">
        <v>108</v>
      </c>
      <c r="E55" s="137"/>
      <c r="F55" s="12" t="str">
        <f>IF(IFERROR(VLOOKUP("Packers &amp; Movers",$C$21:$D$30,1,FALSE),"Not Required")="Not Required","Not Required","Required")</f>
        <v>Not Required</v>
      </c>
      <c r="G55" s="13"/>
      <c r="H55" s="13"/>
      <c r="I55" s="13"/>
      <c r="J55" s="13"/>
      <c r="K55" s="13"/>
      <c r="L55" s="19"/>
    </row>
    <row r="56" spans="2:12" x14ac:dyDescent="0.25">
      <c r="B56" s="18"/>
      <c r="C56" s="12">
        <v>2</v>
      </c>
      <c r="D56" s="137" t="s">
        <v>109</v>
      </c>
      <c r="E56" s="138"/>
      <c r="F56" s="12" t="str">
        <f>IF(IFERROR(VLOOKUP("Travel",$C$21:$D$30,1,FALSE),"Not Required")="Not Required","Not Required","Required")</f>
        <v>Not Required</v>
      </c>
      <c r="G56" s="13"/>
      <c r="H56" s="13"/>
      <c r="I56" s="13"/>
      <c r="J56" s="13"/>
      <c r="K56" s="13"/>
      <c r="L56" s="19"/>
    </row>
    <row r="57" spans="2:12" x14ac:dyDescent="0.25">
      <c r="B57" s="18"/>
      <c r="C57" s="12">
        <v>3</v>
      </c>
      <c r="D57" s="137" t="s">
        <v>110</v>
      </c>
      <c r="E57" s="138"/>
      <c r="F57" s="12" t="str">
        <f>IF(IFERROR(VLOOKUP("Brokerage",$C$21:$D$30,1,FALSE),"Not Required")="Not Required","Not Required","Required")</f>
        <v>Not Required</v>
      </c>
      <c r="G57" s="13"/>
      <c r="H57" s="13"/>
      <c r="I57" s="13"/>
      <c r="J57" s="13"/>
      <c r="K57" s="13"/>
      <c r="L57" s="19"/>
    </row>
    <row r="58" spans="2:12" x14ac:dyDescent="0.25">
      <c r="B58" s="18"/>
      <c r="C58" s="13"/>
      <c r="D58" s="13"/>
      <c r="E58" s="13"/>
      <c r="F58" s="13"/>
      <c r="G58" s="13"/>
      <c r="H58" s="13"/>
      <c r="I58" s="13"/>
      <c r="J58" s="13"/>
      <c r="K58" s="13"/>
      <c r="L58" s="19"/>
    </row>
    <row r="59" spans="2:12" x14ac:dyDescent="0.25">
      <c r="B59" s="18"/>
      <c r="C59" s="5" t="s">
        <v>22</v>
      </c>
      <c r="D59" s="13"/>
      <c r="E59" s="13"/>
      <c r="F59" s="13"/>
      <c r="G59" s="13"/>
      <c r="H59" s="13"/>
      <c r="I59" s="13"/>
      <c r="J59" s="13"/>
      <c r="K59" s="13"/>
      <c r="L59" s="19"/>
    </row>
    <row r="60" spans="2:12" ht="24.75" customHeight="1" x14ac:dyDescent="0.25">
      <c r="B60" s="18"/>
      <c r="C60" s="80">
        <v>1</v>
      </c>
      <c r="D60" s="136" t="s">
        <v>147</v>
      </c>
      <c r="E60" s="136"/>
      <c r="F60" s="136"/>
      <c r="G60" s="136"/>
      <c r="H60" s="136"/>
      <c r="I60" s="136"/>
      <c r="J60" s="136"/>
      <c r="K60" s="136"/>
      <c r="L60" s="19"/>
    </row>
    <row r="61" spans="2:12" ht="10.5" customHeight="1" x14ac:dyDescent="0.25">
      <c r="B61" s="18"/>
      <c r="C61" s="13"/>
      <c r="D61" s="236"/>
      <c r="E61" s="236"/>
      <c r="F61" s="236"/>
      <c r="G61" s="236"/>
      <c r="H61" s="236"/>
      <c r="I61" s="236"/>
      <c r="J61" s="236"/>
      <c r="K61" s="236"/>
      <c r="L61" s="19"/>
    </row>
    <row r="62" spans="2:12" ht="9" customHeight="1" thickBot="1" x14ac:dyDescent="0.3">
      <c r="B62" s="28"/>
      <c r="C62" s="46" t="s">
        <v>23</v>
      </c>
      <c r="D62" s="45"/>
      <c r="E62" s="45"/>
      <c r="F62" s="45"/>
      <c r="G62" s="45"/>
      <c r="H62" s="44"/>
      <c r="I62" s="44"/>
      <c r="J62" s="44"/>
      <c r="K62" s="44"/>
      <c r="L62" s="30"/>
    </row>
  </sheetData>
  <sheetProtection algorithmName="SHA-512" hashValue="sWObXKWl09Apo0jKI9u54PQMU09BQ4sU5J+5BkmMyL6OjPr3DTwofP4dx4Xlb6vCWGbHxN7T7C6SAo0fhkNM6w==" saltValue="/Z3BDFTc8/Rr7njdX65VtQ==" spinCount="100000" sheet="1" scenarios="1" selectLockedCells="1"/>
  <mergeCells count="58">
    <mergeCell ref="F29:G29"/>
    <mergeCell ref="F24:G24"/>
    <mergeCell ref="H32:I32"/>
    <mergeCell ref="D33:G33"/>
    <mergeCell ref="F36:H36"/>
    <mergeCell ref="F25:G25"/>
    <mergeCell ref="F26:G26"/>
    <mergeCell ref="F27:G27"/>
    <mergeCell ref="C24:D24"/>
    <mergeCell ref="F28:G28"/>
    <mergeCell ref="I9:J9"/>
    <mergeCell ref="F20:G20"/>
    <mergeCell ref="F21:G21"/>
    <mergeCell ref="C12:K14"/>
    <mergeCell ref="C17:K18"/>
    <mergeCell ref="J20:K20"/>
    <mergeCell ref="J21:K30"/>
    <mergeCell ref="C30:D30"/>
    <mergeCell ref="F30:G30"/>
    <mergeCell ref="C22:D22"/>
    <mergeCell ref="C9:D9"/>
    <mergeCell ref="C16:K16"/>
    <mergeCell ref="E9:F9"/>
    <mergeCell ref="C23:D23"/>
    <mergeCell ref="C28:D28"/>
    <mergeCell ref="C29:D29"/>
    <mergeCell ref="C3:J3"/>
    <mergeCell ref="K2:L3"/>
    <mergeCell ref="H33:I33"/>
    <mergeCell ref="C25:D25"/>
    <mergeCell ref="C26:D26"/>
    <mergeCell ref="C27:D27"/>
    <mergeCell ref="C20:D20"/>
    <mergeCell ref="C21:D21"/>
    <mergeCell ref="C7:D7"/>
    <mergeCell ref="E7:F7"/>
    <mergeCell ref="I7:J7"/>
    <mergeCell ref="C8:D8"/>
    <mergeCell ref="E8:F8"/>
    <mergeCell ref="I8:J8"/>
    <mergeCell ref="F22:G22"/>
    <mergeCell ref="F23:G23"/>
    <mergeCell ref="D39:E39"/>
    <mergeCell ref="F39:H39"/>
    <mergeCell ref="C35:D35"/>
    <mergeCell ref="D36:E36"/>
    <mergeCell ref="D61:K61"/>
    <mergeCell ref="C41:D41"/>
    <mergeCell ref="D42:K42"/>
    <mergeCell ref="I52:K52"/>
    <mergeCell ref="D55:E55"/>
    <mergeCell ref="D56:E56"/>
    <mergeCell ref="D57:E57"/>
    <mergeCell ref="D60:K60"/>
    <mergeCell ref="D38:E38"/>
    <mergeCell ref="F38:H38"/>
    <mergeCell ref="D37:E37"/>
    <mergeCell ref="F37:H37"/>
  </mergeCells>
  <dataValidations count="2">
    <dataValidation type="list" allowBlank="1" showInputMessage="1" showErrorMessage="1" sqref="F21:F30 H33:H35">
      <formula1>CURRENCY</formula1>
    </dataValidation>
    <dataValidation errorStyle="warning" operator="lessThanOrEqual" allowBlank="1" showInputMessage="1" showErrorMessage="1" errorTitle="Invalid Date" error="The entered date is in the future or is not in the dd/mm/yyyy format" sqref="E21 K5"/>
  </dataValidations>
  <pageMargins left="0.7" right="0.7" top="0.75" bottom="0.75" header="0.3" footer="0.3"/>
  <pageSetup scale="76" fitToHeight="3" orientation="portrait" r:id="rId1"/>
  <headerFooter>
    <oddFooter>&amp;LRESTRICTED</oddFooter>
    <evenFooter>&amp;LRESTRICTED</evenFooter>
    <firstFooter>&amp;LRESTRICTED</first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References!$H$1:$H$51</xm:f>
          </x14:formula1>
          <xm:sqref>I21</xm:sqref>
        </x14:dataValidation>
        <x14:dataValidation type="list" allowBlank="1" showInputMessage="1" showErrorMessage="1">
          <x14:formula1>
            <xm:f>References!$K$1:$K$5</xm:f>
          </x14:formula1>
          <xm:sqref>C21:C30</xm:sqref>
        </x14:dataValidation>
        <x14:dataValidation type="list" allowBlank="1" showInputMessage="1" showErrorMessage="1">
          <x14:formula1>
            <xm:f>References!$P$1:$P$3</xm:f>
          </x14:formula1>
          <xm:sqref>E9:F9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B1:O61"/>
  <sheetViews>
    <sheetView showGridLines="0" showRowColHeaders="0" zoomScale="140" zoomScaleNormal="140" workbookViewId="0">
      <selection activeCell="E7" sqref="E7:F7"/>
    </sheetView>
  </sheetViews>
  <sheetFormatPr defaultRowHeight="15" x14ac:dyDescent="0.25"/>
  <cols>
    <col min="1" max="2" width="3.7109375" customWidth="1"/>
    <col min="5" max="5" width="11.28515625" customWidth="1"/>
    <col min="6" max="6" width="13.140625" customWidth="1"/>
    <col min="7" max="7" width="8" customWidth="1"/>
    <col min="8" max="8" width="12.7109375" customWidth="1"/>
    <col min="9" max="9" width="13.140625" customWidth="1"/>
    <col min="10" max="10" width="13.85546875" customWidth="1"/>
    <col min="11" max="11" width="13.28515625" customWidth="1"/>
    <col min="12" max="12" width="3.85546875" customWidth="1"/>
    <col min="13" max="13" width="3.7109375" customWidth="1"/>
  </cols>
  <sheetData>
    <row r="1" spans="2:12" ht="15" customHeight="1" thickBot="1" x14ac:dyDescent="0.3"/>
    <row r="2" spans="2:12" ht="8.25" customHeight="1" x14ac:dyDescent="0.25">
      <c r="B2" s="15"/>
      <c r="C2" s="16"/>
      <c r="D2" s="16"/>
      <c r="E2" s="16"/>
      <c r="F2" s="16"/>
      <c r="G2" s="16"/>
      <c r="H2" s="16"/>
      <c r="I2" s="16"/>
      <c r="J2" s="16"/>
      <c r="K2" s="157">
        <v>4</v>
      </c>
      <c r="L2" s="158"/>
    </row>
    <row r="3" spans="2:12" ht="15.75" x14ac:dyDescent="0.25">
      <c r="B3" s="18"/>
      <c r="C3" s="156" t="s">
        <v>204</v>
      </c>
      <c r="D3" s="156"/>
      <c r="E3" s="156"/>
      <c r="F3" s="156"/>
      <c r="G3" s="156"/>
      <c r="H3" s="156"/>
      <c r="I3" s="156"/>
      <c r="J3" s="156"/>
      <c r="K3" s="159"/>
      <c r="L3" s="160"/>
    </row>
    <row r="4" spans="2:12" x14ac:dyDescent="0.25">
      <c r="B4" s="18"/>
      <c r="C4" s="13"/>
      <c r="D4" s="2"/>
      <c r="E4" s="2"/>
      <c r="F4" s="2"/>
      <c r="G4" s="13" t="s">
        <v>0</v>
      </c>
      <c r="H4" s="2"/>
      <c r="I4" s="2"/>
      <c r="J4" s="2"/>
      <c r="K4" s="2"/>
      <c r="L4" s="19"/>
    </row>
    <row r="5" spans="2:12" x14ac:dyDescent="0.25">
      <c r="B5" s="18"/>
      <c r="C5" s="2"/>
      <c r="D5" s="2"/>
      <c r="E5" s="2"/>
      <c r="F5" s="2"/>
      <c r="G5" s="2"/>
      <c r="H5" s="2"/>
      <c r="I5" s="2"/>
      <c r="J5" s="13" t="s">
        <v>1</v>
      </c>
      <c r="K5" s="95">
        <v>1</v>
      </c>
      <c r="L5" s="19"/>
    </row>
    <row r="6" spans="2:12" ht="15.75" thickBot="1" x14ac:dyDescent="0.3">
      <c r="B6" s="18"/>
      <c r="C6" s="2"/>
      <c r="D6" s="2"/>
      <c r="E6" s="2"/>
      <c r="F6" s="2"/>
      <c r="G6" s="2"/>
      <c r="H6" s="2"/>
      <c r="I6" s="2"/>
      <c r="J6" s="2"/>
      <c r="K6" s="2"/>
      <c r="L6" s="19"/>
    </row>
    <row r="7" spans="2:12" ht="15.75" thickBot="1" x14ac:dyDescent="0.3">
      <c r="B7" s="18"/>
      <c r="C7" s="139" t="s">
        <v>107</v>
      </c>
      <c r="D7" s="139"/>
      <c r="E7" s="154"/>
      <c r="F7" s="155"/>
      <c r="G7" s="13"/>
      <c r="H7" s="13" t="s">
        <v>99</v>
      </c>
      <c r="I7" s="154"/>
      <c r="J7" s="155"/>
      <c r="K7" s="13"/>
      <c r="L7" s="19"/>
    </row>
    <row r="8" spans="2:12" ht="15.75" thickBot="1" x14ac:dyDescent="0.3">
      <c r="B8" s="18"/>
      <c r="C8" s="139" t="s">
        <v>80</v>
      </c>
      <c r="D8" s="139"/>
      <c r="E8" s="154"/>
      <c r="F8" s="155"/>
      <c r="G8" s="13"/>
      <c r="H8" s="20" t="s">
        <v>32</v>
      </c>
      <c r="I8" s="154"/>
      <c r="J8" s="155"/>
      <c r="K8" s="13"/>
      <c r="L8" s="19"/>
    </row>
    <row r="9" spans="2:12" ht="15.75" thickBot="1" x14ac:dyDescent="0.3">
      <c r="B9" s="18"/>
      <c r="C9" s="139" t="s">
        <v>138</v>
      </c>
      <c r="D9" s="139"/>
      <c r="E9" s="154"/>
      <c r="F9" s="155"/>
      <c r="G9" s="13"/>
      <c r="H9" s="20" t="s">
        <v>98</v>
      </c>
      <c r="I9" s="154"/>
      <c r="J9" s="155"/>
      <c r="K9" s="13"/>
      <c r="L9" s="19"/>
    </row>
    <row r="10" spans="2:12" ht="9" customHeight="1" x14ac:dyDescent="0.25">
      <c r="B10" s="18"/>
      <c r="C10" s="2"/>
      <c r="D10" s="2"/>
      <c r="E10" s="1"/>
      <c r="F10" s="1"/>
      <c r="G10" s="2"/>
      <c r="H10" s="2"/>
      <c r="I10" s="2"/>
      <c r="J10" s="2"/>
      <c r="K10" s="2"/>
      <c r="L10" s="19"/>
    </row>
    <row r="11" spans="2:12" ht="15" customHeight="1" x14ac:dyDescent="0.25">
      <c r="B11" s="18"/>
      <c r="C11" s="5" t="s">
        <v>195</v>
      </c>
      <c r="D11" s="2"/>
      <c r="E11" s="1"/>
      <c r="F11" s="1"/>
      <c r="G11" s="2"/>
      <c r="H11" s="5"/>
      <c r="I11" s="35"/>
      <c r="J11" s="35"/>
      <c r="K11" s="35"/>
      <c r="L11" s="23"/>
    </row>
    <row r="12" spans="2:12" ht="15" customHeight="1" x14ac:dyDescent="0.25">
      <c r="B12" s="18"/>
      <c r="C12" s="245"/>
      <c r="D12" s="245"/>
      <c r="E12" s="245"/>
      <c r="F12" s="245"/>
      <c r="G12" s="245"/>
      <c r="H12" s="245"/>
      <c r="I12" s="245"/>
      <c r="J12" s="245"/>
      <c r="K12" s="245"/>
      <c r="L12" s="23"/>
    </row>
    <row r="13" spans="2:12" ht="15" customHeight="1" x14ac:dyDescent="0.25">
      <c r="B13" s="18"/>
      <c r="C13" s="245"/>
      <c r="D13" s="245"/>
      <c r="E13" s="245"/>
      <c r="F13" s="245"/>
      <c r="G13" s="245"/>
      <c r="H13" s="245"/>
      <c r="I13" s="245"/>
      <c r="J13" s="245"/>
      <c r="K13" s="245"/>
      <c r="L13" s="23"/>
    </row>
    <row r="14" spans="2:12" ht="15" customHeight="1" x14ac:dyDescent="0.25">
      <c r="B14" s="18"/>
      <c r="C14" s="245"/>
      <c r="D14" s="245"/>
      <c r="E14" s="245"/>
      <c r="F14" s="245"/>
      <c r="G14" s="245"/>
      <c r="H14" s="245"/>
      <c r="I14" s="245"/>
      <c r="J14" s="245"/>
      <c r="K14" s="245"/>
      <c r="L14" s="23"/>
    </row>
    <row r="15" spans="2:12" ht="5.25" customHeight="1" x14ac:dyDescent="0.25">
      <c r="B15" s="18"/>
      <c r="C15" s="186"/>
      <c r="D15" s="186"/>
      <c r="E15" s="186"/>
      <c r="F15" s="186"/>
      <c r="G15" s="186"/>
      <c r="H15" s="186"/>
      <c r="I15" s="186"/>
      <c r="J15" s="186"/>
      <c r="K15" s="186"/>
      <c r="L15" s="25"/>
    </row>
    <row r="16" spans="2:12" x14ac:dyDescent="0.25">
      <c r="B16" s="18"/>
      <c r="C16" s="207" t="s">
        <v>117</v>
      </c>
      <c r="D16" s="207"/>
      <c r="E16" s="207"/>
      <c r="F16" s="207"/>
      <c r="G16" s="207"/>
      <c r="H16" s="207"/>
      <c r="I16" s="207"/>
      <c r="J16" s="207"/>
      <c r="K16" s="207"/>
      <c r="L16" s="25"/>
    </row>
    <row r="17" spans="2:12" x14ac:dyDescent="0.25">
      <c r="B17" s="18"/>
      <c r="C17" s="207"/>
      <c r="D17" s="207"/>
      <c r="E17" s="207"/>
      <c r="F17" s="207"/>
      <c r="G17" s="207"/>
      <c r="H17" s="207"/>
      <c r="I17" s="207"/>
      <c r="J17" s="207"/>
      <c r="K17" s="207"/>
      <c r="L17" s="25"/>
    </row>
    <row r="18" spans="2:12" x14ac:dyDescent="0.25">
      <c r="B18" s="18"/>
      <c r="C18" s="64"/>
      <c r="D18" s="64"/>
      <c r="E18" s="64"/>
      <c r="F18" s="64"/>
      <c r="G18" s="64"/>
      <c r="H18" s="64"/>
      <c r="I18" s="64"/>
      <c r="J18" s="64"/>
      <c r="K18" s="64"/>
      <c r="L18" s="25"/>
    </row>
    <row r="19" spans="2:12" ht="24.75" x14ac:dyDescent="0.25">
      <c r="B19" s="18"/>
      <c r="C19" s="246" t="s">
        <v>68</v>
      </c>
      <c r="D19" s="246"/>
      <c r="E19" s="53" t="s">
        <v>184</v>
      </c>
      <c r="F19" s="243" t="s">
        <v>14</v>
      </c>
      <c r="G19" s="244"/>
      <c r="H19" s="53" t="s">
        <v>9</v>
      </c>
      <c r="I19" s="53" t="s">
        <v>69</v>
      </c>
      <c r="J19" s="246" t="s">
        <v>59</v>
      </c>
      <c r="K19" s="246"/>
      <c r="L19" s="25"/>
    </row>
    <row r="20" spans="2:12" x14ac:dyDescent="0.25">
      <c r="B20" s="18"/>
      <c r="C20" s="238"/>
      <c r="D20" s="242"/>
      <c r="E20" s="95">
        <v>1</v>
      </c>
      <c r="F20" s="238" t="s">
        <v>58</v>
      </c>
      <c r="G20" s="242"/>
      <c r="H20" s="86"/>
      <c r="I20" s="86"/>
      <c r="J20" s="247"/>
      <c r="K20" s="248"/>
      <c r="L20" s="25"/>
    </row>
    <row r="21" spans="2:12" x14ac:dyDescent="0.25">
      <c r="B21" s="18"/>
      <c r="C21" s="238"/>
      <c r="D21" s="242"/>
      <c r="E21" s="95"/>
      <c r="F21" s="238" t="s">
        <v>58</v>
      </c>
      <c r="G21" s="242"/>
      <c r="H21" s="86"/>
      <c r="I21" s="86"/>
      <c r="J21" s="249"/>
      <c r="K21" s="250"/>
      <c r="L21" s="25"/>
    </row>
    <row r="22" spans="2:12" x14ac:dyDescent="0.25">
      <c r="B22" s="18"/>
      <c r="C22" s="238"/>
      <c r="D22" s="239"/>
      <c r="E22" s="95"/>
      <c r="F22" s="238" t="s">
        <v>58</v>
      </c>
      <c r="G22" s="239"/>
      <c r="H22" s="86"/>
      <c r="I22" s="86"/>
      <c r="J22" s="249"/>
      <c r="K22" s="250"/>
      <c r="L22" s="25"/>
    </row>
    <row r="23" spans="2:12" x14ac:dyDescent="0.25">
      <c r="B23" s="18"/>
      <c r="C23" s="238"/>
      <c r="D23" s="239"/>
      <c r="E23" s="95"/>
      <c r="F23" s="238" t="s">
        <v>58</v>
      </c>
      <c r="G23" s="239"/>
      <c r="H23" s="86"/>
      <c r="I23" s="86"/>
      <c r="J23" s="249"/>
      <c r="K23" s="250"/>
      <c r="L23" s="25"/>
    </row>
    <row r="24" spans="2:12" x14ac:dyDescent="0.25">
      <c r="B24" s="18"/>
      <c r="C24" s="238"/>
      <c r="D24" s="239"/>
      <c r="E24" s="95"/>
      <c r="F24" s="238" t="s">
        <v>58</v>
      </c>
      <c r="G24" s="239"/>
      <c r="H24" s="86"/>
      <c r="I24" s="86"/>
      <c r="J24" s="249"/>
      <c r="K24" s="250"/>
      <c r="L24" s="25"/>
    </row>
    <row r="25" spans="2:12" x14ac:dyDescent="0.25">
      <c r="B25" s="18"/>
      <c r="C25" s="238"/>
      <c r="D25" s="239"/>
      <c r="E25" s="95"/>
      <c r="F25" s="238" t="s">
        <v>58</v>
      </c>
      <c r="G25" s="239"/>
      <c r="H25" s="86"/>
      <c r="I25" s="86"/>
      <c r="J25" s="249"/>
      <c r="K25" s="250"/>
      <c r="L25" s="25"/>
    </row>
    <row r="26" spans="2:12" x14ac:dyDescent="0.25">
      <c r="B26" s="18"/>
      <c r="C26" s="238"/>
      <c r="D26" s="239"/>
      <c r="E26" s="95"/>
      <c r="F26" s="238" t="s">
        <v>58</v>
      </c>
      <c r="G26" s="239"/>
      <c r="H26" s="86"/>
      <c r="I26" s="86"/>
      <c r="J26" s="249"/>
      <c r="K26" s="250"/>
      <c r="L26" s="25"/>
    </row>
    <row r="27" spans="2:12" x14ac:dyDescent="0.25">
      <c r="B27" s="18"/>
      <c r="C27" s="238"/>
      <c r="D27" s="239"/>
      <c r="E27" s="95"/>
      <c r="F27" s="238" t="s">
        <v>58</v>
      </c>
      <c r="G27" s="239"/>
      <c r="H27" s="86"/>
      <c r="I27" s="86"/>
      <c r="J27" s="249"/>
      <c r="K27" s="250"/>
      <c r="L27" s="25"/>
    </row>
    <row r="28" spans="2:12" x14ac:dyDescent="0.25">
      <c r="B28" s="18"/>
      <c r="C28" s="238"/>
      <c r="D28" s="239"/>
      <c r="E28" s="95"/>
      <c r="F28" s="238" t="s">
        <v>58</v>
      </c>
      <c r="G28" s="239"/>
      <c r="H28" s="86"/>
      <c r="I28" s="86"/>
      <c r="J28" s="249"/>
      <c r="K28" s="250"/>
      <c r="L28" s="25"/>
    </row>
    <row r="29" spans="2:12" x14ac:dyDescent="0.25">
      <c r="B29" s="18"/>
      <c r="C29" s="238"/>
      <c r="D29" s="239"/>
      <c r="E29" s="95"/>
      <c r="F29" s="238" t="s">
        <v>58</v>
      </c>
      <c r="G29" s="239"/>
      <c r="H29" s="86"/>
      <c r="I29" s="86"/>
      <c r="J29" s="251"/>
      <c r="K29" s="252"/>
      <c r="L29" s="25"/>
    </row>
    <row r="30" spans="2:12" x14ac:dyDescent="0.25">
      <c r="B30" s="18"/>
      <c r="C30" s="13"/>
      <c r="D30" s="36"/>
      <c r="E30" s="36"/>
      <c r="F30" s="36"/>
      <c r="G30" s="13"/>
      <c r="H30" s="13"/>
      <c r="I30" s="13"/>
      <c r="J30" s="13"/>
      <c r="K30" s="13"/>
      <c r="L30" s="19"/>
    </row>
    <row r="31" spans="2:12" x14ac:dyDescent="0.25">
      <c r="B31" s="18"/>
      <c r="C31" s="13"/>
      <c r="D31" s="13"/>
      <c r="E31" s="13"/>
      <c r="F31" s="13"/>
      <c r="G31" s="13"/>
      <c r="H31" s="195" t="s">
        <v>14</v>
      </c>
      <c r="I31" s="196"/>
      <c r="J31" s="110" t="s">
        <v>9</v>
      </c>
      <c r="K31" s="13"/>
      <c r="L31" s="19"/>
    </row>
    <row r="32" spans="2:12" x14ac:dyDescent="0.25">
      <c r="B32" s="18"/>
      <c r="C32" s="13"/>
      <c r="D32" s="195" t="s">
        <v>100</v>
      </c>
      <c r="E32" s="200"/>
      <c r="F32" s="200"/>
      <c r="G32" s="196"/>
      <c r="H32" s="197" t="s">
        <v>58</v>
      </c>
      <c r="I32" s="198"/>
      <c r="J32" s="109">
        <f>SUM(H20:H28)</f>
        <v>0</v>
      </c>
      <c r="K32" s="13"/>
      <c r="L32" s="19"/>
    </row>
    <row r="33" spans="2:15" x14ac:dyDescent="0.25">
      <c r="B33" s="18"/>
      <c r="C33" s="13"/>
      <c r="D33" s="33"/>
      <c r="E33" s="33"/>
      <c r="F33" s="33"/>
      <c r="G33" s="33"/>
      <c r="H33" s="13"/>
      <c r="I33" s="13"/>
      <c r="J33" s="13"/>
      <c r="K33" s="13"/>
      <c r="L33" s="19"/>
    </row>
    <row r="34" spans="2:15" x14ac:dyDescent="0.25">
      <c r="B34" s="18"/>
      <c r="C34" s="190" t="s">
        <v>128</v>
      </c>
      <c r="D34" s="190"/>
      <c r="E34" s="33"/>
      <c r="F34" s="33"/>
      <c r="G34" s="33"/>
      <c r="H34" s="13"/>
      <c r="I34" s="13"/>
      <c r="J34" s="13"/>
      <c r="K34" s="13"/>
      <c r="L34" s="19"/>
    </row>
    <row r="35" spans="2:15" x14ac:dyDescent="0.25">
      <c r="B35" s="18"/>
      <c r="C35" s="13"/>
      <c r="D35" s="139" t="s">
        <v>129</v>
      </c>
      <c r="E35" s="139"/>
      <c r="F35" s="235"/>
      <c r="G35" s="235"/>
      <c r="H35" s="235"/>
      <c r="I35" s="13"/>
      <c r="J35" s="13"/>
      <c r="K35" s="13"/>
      <c r="L35" s="19"/>
    </row>
    <row r="36" spans="2:15" x14ac:dyDescent="0.25">
      <c r="B36" s="18"/>
      <c r="C36" s="13"/>
      <c r="D36" s="139" t="s">
        <v>130</v>
      </c>
      <c r="E36" s="234"/>
      <c r="F36" s="237"/>
      <c r="G36" s="237"/>
      <c r="H36" s="237"/>
      <c r="I36" s="13"/>
      <c r="J36" s="13"/>
      <c r="K36" s="13"/>
      <c r="L36" s="19"/>
    </row>
    <row r="37" spans="2:15" x14ac:dyDescent="0.25">
      <c r="B37" s="18"/>
      <c r="C37" s="13"/>
      <c r="D37" s="139" t="s">
        <v>131</v>
      </c>
      <c r="E37" s="234"/>
      <c r="F37" s="235"/>
      <c r="G37" s="235"/>
      <c r="H37" s="235"/>
      <c r="I37" s="13"/>
      <c r="J37" s="13"/>
      <c r="K37" s="13"/>
      <c r="L37" s="19"/>
    </row>
    <row r="38" spans="2:15" x14ac:dyDescent="0.25">
      <c r="B38" s="18"/>
      <c r="C38" s="13"/>
      <c r="D38" s="139" t="s">
        <v>132</v>
      </c>
      <c r="E38" s="234"/>
      <c r="F38" s="235"/>
      <c r="G38" s="235"/>
      <c r="H38" s="235"/>
      <c r="I38" s="13"/>
      <c r="J38" s="13"/>
      <c r="K38" s="13"/>
      <c r="L38" s="19"/>
    </row>
    <row r="39" spans="2:15" x14ac:dyDescent="0.25">
      <c r="B39" s="39"/>
      <c r="C39" s="10"/>
      <c r="D39" s="10"/>
      <c r="E39" s="10"/>
      <c r="F39" s="10"/>
      <c r="G39" s="10"/>
      <c r="H39" s="10"/>
      <c r="I39" s="10"/>
      <c r="J39" s="10"/>
      <c r="K39" s="10"/>
      <c r="L39" s="22"/>
    </row>
    <row r="40" spans="2:15" x14ac:dyDescent="0.25">
      <c r="B40" s="18"/>
      <c r="C40" s="190" t="s">
        <v>18</v>
      </c>
      <c r="D40" s="190"/>
      <c r="E40" s="13"/>
      <c r="F40" s="13"/>
      <c r="G40" s="13"/>
      <c r="H40" s="13"/>
      <c r="I40" s="13"/>
      <c r="J40" s="13"/>
      <c r="K40" s="13"/>
      <c r="L40" s="19"/>
    </row>
    <row r="41" spans="2:15" ht="16.5" customHeight="1" x14ac:dyDescent="0.25">
      <c r="B41" s="18"/>
      <c r="C41" s="13"/>
      <c r="D41" s="224" t="s">
        <v>106</v>
      </c>
      <c r="E41" s="224"/>
      <c r="F41" s="224"/>
      <c r="G41" s="224"/>
      <c r="H41" s="224"/>
      <c r="I41" s="224"/>
      <c r="J41" s="224"/>
      <c r="K41" s="224"/>
      <c r="L41" s="19"/>
    </row>
    <row r="42" spans="2:15" ht="16.5" customHeight="1" x14ac:dyDescent="0.25">
      <c r="B42" s="18"/>
      <c r="C42" s="13"/>
      <c r="D42" s="34"/>
      <c r="E42" s="34"/>
      <c r="F42" s="34"/>
      <c r="G42" s="34"/>
      <c r="H42" s="34"/>
      <c r="I42" s="34"/>
      <c r="J42" s="34"/>
      <c r="K42" s="34"/>
      <c r="L42" s="19"/>
    </row>
    <row r="43" spans="2:15" x14ac:dyDescent="0.25">
      <c r="B43" s="18"/>
      <c r="C43" s="13"/>
      <c r="D43" s="13"/>
      <c r="E43" s="13"/>
      <c r="F43" s="13"/>
      <c r="G43" s="13"/>
      <c r="H43" s="13"/>
      <c r="I43" s="13"/>
      <c r="J43" s="13"/>
      <c r="K43" s="13"/>
      <c r="L43" s="19"/>
    </row>
    <row r="44" spans="2:15" x14ac:dyDescent="0.25">
      <c r="B44" s="18"/>
      <c r="C44" s="13"/>
      <c r="D44" s="13"/>
      <c r="E44" s="13"/>
      <c r="H44" s="13"/>
      <c r="I44" s="10"/>
      <c r="J44" s="10"/>
      <c r="L44" s="19"/>
      <c r="O44" s="54"/>
    </row>
    <row r="45" spans="2:15" x14ac:dyDescent="0.25">
      <c r="B45" s="18"/>
      <c r="C45" s="43" t="s">
        <v>29</v>
      </c>
      <c r="D45" s="43"/>
      <c r="E45" s="43"/>
      <c r="H45" s="8"/>
      <c r="I45" s="8" t="s">
        <v>20</v>
      </c>
      <c r="J45" s="8"/>
      <c r="L45" s="19"/>
      <c r="O45" s="54"/>
    </row>
    <row r="46" spans="2:15" x14ac:dyDescent="0.25">
      <c r="B46" s="18"/>
      <c r="C46" s="13" t="s">
        <v>186</v>
      </c>
      <c r="D46" s="13"/>
      <c r="E46" s="13" t="str">
        <f>IF(LEN(E7)&gt;0, E7,"")</f>
        <v/>
      </c>
      <c r="H46" s="13"/>
      <c r="I46" s="13" t="s">
        <v>187</v>
      </c>
      <c r="J46" s="13"/>
      <c r="L46" s="19"/>
      <c r="O46" s="54"/>
    </row>
    <row r="47" spans="2:15" x14ac:dyDescent="0.25">
      <c r="B47" s="18"/>
      <c r="C47" s="13" t="s">
        <v>19</v>
      </c>
      <c r="D47" s="13"/>
      <c r="E47" s="13"/>
      <c r="F47" s="13"/>
      <c r="G47" s="13"/>
      <c r="H47" s="13"/>
      <c r="I47" s="13" t="s">
        <v>19</v>
      </c>
      <c r="J47" s="13"/>
      <c r="K47" s="13"/>
      <c r="L47" s="19"/>
    </row>
    <row r="48" spans="2:15" ht="27.75" customHeight="1" x14ac:dyDescent="0.25">
      <c r="B48" s="18"/>
      <c r="C48" s="13"/>
      <c r="D48" s="13"/>
      <c r="E48" s="13"/>
      <c r="F48" s="13"/>
      <c r="G48" s="13"/>
      <c r="H48" s="13"/>
      <c r="I48" s="13"/>
      <c r="J48" s="13"/>
      <c r="K48" s="13"/>
      <c r="L48" s="19"/>
    </row>
    <row r="49" spans="2:12" x14ac:dyDescent="0.25">
      <c r="B49" s="18"/>
      <c r="C49" s="13"/>
      <c r="D49" s="13"/>
      <c r="E49" s="13"/>
      <c r="F49" s="13"/>
      <c r="G49" s="13"/>
      <c r="H49" s="13"/>
      <c r="I49" s="10"/>
      <c r="J49" s="10"/>
      <c r="K49" s="13"/>
      <c r="L49" s="19"/>
    </row>
    <row r="50" spans="2:12" x14ac:dyDescent="0.25">
      <c r="B50" s="18"/>
      <c r="C50" s="43" t="s">
        <v>21</v>
      </c>
      <c r="D50" s="43"/>
      <c r="E50" s="43"/>
      <c r="F50" s="13"/>
      <c r="G50" s="13"/>
      <c r="H50" s="13"/>
      <c r="I50" s="8" t="s">
        <v>118</v>
      </c>
      <c r="J50" s="8"/>
      <c r="K50" s="8"/>
      <c r="L50" s="19"/>
    </row>
    <row r="51" spans="2:12" x14ac:dyDescent="0.25">
      <c r="B51" s="18"/>
      <c r="C51" s="13" t="s">
        <v>19</v>
      </c>
      <c r="D51" s="13"/>
      <c r="E51" s="13"/>
      <c r="F51" s="13"/>
      <c r="G51" s="13"/>
      <c r="H51" s="13"/>
      <c r="I51" s="139" t="s">
        <v>19</v>
      </c>
      <c r="J51" s="139"/>
      <c r="K51" s="139"/>
      <c r="L51" s="19"/>
    </row>
    <row r="52" spans="2:12" x14ac:dyDescent="0.25">
      <c r="B52" s="18"/>
      <c r="C52" s="13"/>
      <c r="D52" s="13"/>
      <c r="E52" s="13"/>
      <c r="F52" s="13"/>
      <c r="G52" s="13"/>
      <c r="H52" s="13"/>
      <c r="I52" s="13"/>
      <c r="J52" s="13"/>
      <c r="K52" s="13"/>
      <c r="L52" s="19"/>
    </row>
    <row r="53" spans="2:12" x14ac:dyDescent="0.25">
      <c r="B53" s="37"/>
      <c r="C53" s="41" t="s">
        <v>31</v>
      </c>
      <c r="D53" s="31"/>
      <c r="E53" s="31"/>
      <c r="F53" s="31"/>
      <c r="G53" s="31"/>
      <c r="H53" s="31"/>
      <c r="I53" s="31"/>
      <c r="J53" s="31"/>
      <c r="K53" s="31"/>
      <c r="L53" s="38"/>
    </row>
    <row r="54" spans="2:12" x14ac:dyDescent="0.25">
      <c r="B54" s="18"/>
      <c r="C54" s="12">
        <v>1</v>
      </c>
      <c r="D54" s="137" t="s">
        <v>111</v>
      </c>
      <c r="E54" s="137"/>
      <c r="F54" s="12" t="str">
        <f>IF(IFERROR(VLOOKUP("Accommodation",$C$20:$D$29,1,FALSE),"Not Required")="Not Required","Not Required","Required")</f>
        <v>Not Required</v>
      </c>
      <c r="G54" s="13"/>
      <c r="H54" s="13"/>
      <c r="I54" s="13"/>
      <c r="J54" s="13"/>
      <c r="K54" s="13"/>
      <c r="L54" s="19"/>
    </row>
    <row r="55" spans="2:12" x14ac:dyDescent="0.25">
      <c r="B55" s="18"/>
      <c r="C55" s="12">
        <v>2</v>
      </c>
      <c r="D55" s="137" t="s">
        <v>112</v>
      </c>
      <c r="E55" s="138"/>
      <c r="F55" s="12" t="str">
        <f>IF(IFERROR(VLOOKUP("School Fees",$C$20:$D$29,1,FALSE),"Not Required")="Not Required","Not Required","Required")</f>
        <v>Not Required</v>
      </c>
      <c r="G55" s="13"/>
      <c r="H55" s="13"/>
      <c r="I55" s="13"/>
      <c r="J55" s="13"/>
      <c r="K55" s="13"/>
      <c r="L55" s="19"/>
    </row>
    <row r="56" spans="2:12" x14ac:dyDescent="0.25">
      <c r="B56" s="18"/>
      <c r="C56" s="13"/>
      <c r="D56" s="139"/>
      <c r="E56" s="143"/>
      <c r="F56" s="13"/>
      <c r="G56" s="13"/>
      <c r="H56" s="13"/>
      <c r="I56" s="13"/>
      <c r="J56" s="13"/>
      <c r="K56" s="13"/>
      <c r="L56" s="19"/>
    </row>
    <row r="57" spans="2:12" ht="3" customHeight="1" x14ac:dyDescent="0.25">
      <c r="B57" s="18"/>
      <c r="C57" s="13"/>
      <c r="D57" s="13"/>
      <c r="E57" s="13"/>
      <c r="F57" s="13"/>
      <c r="G57" s="13"/>
      <c r="H57" s="13"/>
      <c r="I57" s="13"/>
      <c r="J57" s="13"/>
      <c r="K57" s="13"/>
      <c r="L57" s="19"/>
    </row>
    <row r="58" spans="2:12" x14ac:dyDescent="0.25">
      <c r="B58" s="18"/>
      <c r="C58" s="5" t="s">
        <v>22</v>
      </c>
      <c r="D58" s="13"/>
      <c r="E58" s="13"/>
      <c r="F58" s="13"/>
      <c r="G58" s="13"/>
      <c r="H58" s="13"/>
      <c r="I58" s="13"/>
      <c r="J58" s="13"/>
      <c r="K58" s="13"/>
      <c r="L58" s="19"/>
    </row>
    <row r="59" spans="2:12" ht="25.5" customHeight="1" x14ac:dyDescent="0.25">
      <c r="B59" s="18"/>
      <c r="C59" s="80">
        <v>1</v>
      </c>
      <c r="D59" s="136" t="s">
        <v>147</v>
      </c>
      <c r="E59" s="136"/>
      <c r="F59" s="136"/>
      <c r="G59" s="136"/>
      <c r="H59" s="136"/>
      <c r="I59" s="136"/>
      <c r="J59" s="136"/>
      <c r="K59" s="136"/>
      <c r="L59" s="19"/>
    </row>
    <row r="60" spans="2:12" ht="17.25" customHeight="1" x14ac:dyDescent="0.25">
      <c r="B60" s="18"/>
      <c r="C60" s="13"/>
      <c r="D60" s="236"/>
      <c r="E60" s="236"/>
      <c r="F60" s="236"/>
      <c r="G60" s="236"/>
      <c r="H60" s="236"/>
      <c r="I60" s="236"/>
      <c r="J60" s="236"/>
      <c r="K60" s="236"/>
      <c r="L60" s="19"/>
    </row>
    <row r="61" spans="2:12" ht="9" customHeight="1" thickBot="1" x14ac:dyDescent="0.3">
      <c r="B61" s="28"/>
      <c r="C61" s="46" t="s">
        <v>23</v>
      </c>
      <c r="D61" s="45"/>
      <c r="E61" s="45"/>
      <c r="F61" s="45"/>
      <c r="G61" s="45"/>
      <c r="H61" s="44"/>
      <c r="I61" s="44"/>
      <c r="J61" s="44"/>
      <c r="K61" s="44"/>
      <c r="L61" s="30"/>
    </row>
  </sheetData>
  <sheetProtection algorithmName="SHA-512" hashValue="5adjyf3Gumu0WWVrNO+RR1JDZq2fSnxSJGj7NrbhZblJv/kSBKnfgmj8WboxvzKcDrFP7HB3JX7njQdqYcUI2A==" saltValue="eQYJxRXPJzpFU751C7y5sA==" spinCount="100000" sheet="1" scenarios="1" selectLockedCells="1"/>
  <mergeCells count="58">
    <mergeCell ref="D38:E38"/>
    <mergeCell ref="F38:H38"/>
    <mergeCell ref="D54:E54"/>
    <mergeCell ref="D55:E55"/>
    <mergeCell ref="D56:E56"/>
    <mergeCell ref="D59:K59"/>
    <mergeCell ref="D60:K60"/>
    <mergeCell ref="I51:K51"/>
    <mergeCell ref="C28:D28"/>
    <mergeCell ref="F28:G28"/>
    <mergeCell ref="C29:D29"/>
    <mergeCell ref="F29:G29"/>
    <mergeCell ref="H31:I31"/>
    <mergeCell ref="D32:G32"/>
    <mergeCell ref="H32:I32"/>
    <mergeCell ref="C40:D40"/>
    <mergeCell ref="D41:K41"/>
    <mergeCell ref="C34:D34"/>
    <mergeCell ref="D35:E35"/>
    <mergeCell ref="F35:H35"/>
    <mergeCell ref="D36:E36"/>
    <mergeCell ref="F36:H36"/>
    <mergeCell ref="D37:E37"/>
    <mergeCell ref="C26:D26"/>
    <mergeCell ref="F26:G26"/>
    <mergeCell ref="C27:D27"/>
    <mergeCell ref="F27:G27"/>
    <mergeCell ref="F37:H37"/>
    <mergeCell ref="J20:K29"/>
    <mergeCell ref="C24:D24"/>
    <mergeCell ref="F24:G24"/>
    <mergeCell ref="C25:D25"/>
    <mergeCell ref="F25:G25"/>
    <mergeCell ref="C22:D22"/>
    <mergeCell ref="F22:G22"/>
    <mergeCell ref="C23:D23"/>
    <mergeCell ref="F23:G23"/>
    <mergeCell ref="C20:D20"/>
    <mergeCell ref="F20:G20"/>
    <mergeCell ref="C21:D21"/>
    <mergeCell ref="F21:G21"/>
    <mergeCell ref="F19:G19"/>
    <mergeCell ref="J19:K19"/>
    <mergeCell ref="C16:K17"/>
    <mergeCell ref="C8:D8"/>
    <mergeCell ref="E8:F8"/>
    <mergeCell ref="I8:J8"/>
    <mergeCell ref="C9:D9"/>
    <mergeCell ref="E9:F9"/>
    <mergeCell ref="I9:J9"/>
    <mergeCell ref="C12:K14"/>
    <mergeCell ref="C15:K15"/>
    <mergeCell ref="C19:D19"/>
    <mergeCell ref="C3:J3"/>
    <mergeCell ref="K2:L3"/>
    <mergeCell ref="C7:D7"/>
    <mergeCell ref="E7:F7"/>
    <mergeCell ref="I7:J7"/>
  </mergeCells>
  <dataValidations count="1">
    <dataValidation type="list" allowBlank="1" showInputMessage="1" showErrorMessage="1" sqref="F20:F29 H32:H34">
      <formula1>CURRENCY</formula1>
    </dataValidation>
  </dataValidations>
  <pageMargins left="0.7" right="0.7" top="0.75" bottom="0.75" header="0.3" footer="0.3"/>
  <pageSetup scale="76" fitToHeight="3" orientation="portrait" r:id="rId1"/>
  <headerFooter>
    <oddFooter>&amp;LRESTRICTED</oddFooter>
    <evenFooter>&amp;LRESTRICTED</evenFooter>
    <firstFooter>&amp;LRESTRICTED</first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References!$H$1:$H$51</xm:f>
          </x14:formula1>
          <xm:sqref>I20</xm:sqref>
        </x14:dataValidation>
        <x14:dataValidation type="list" allowBlank="1" showInputMessage="1" showErrorMessage="1">
          <x14:formula1>
            <xm:f>References!$L$1:$L$4</xm:f>
          </x14:formula1>
          <xm:sqref>C20:C29</xm:sqref>
        </x14:dataValidation>
        <x14:dataValidation type="list" allowBlank="1" showInputMessage="1" showErrorMessage="1">
          <x14:formula1>
            <xm:f>References!$P$1:$P$3</xm:f>
          </x14:formula1>
          <xm:sqref>E9:F9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B1:O60"/>
  <sheetViews>
    <sheetView showGridLines="0" showRowColHeaders="0" zoomScale="140" zoomScaleNormal="140" workbookViewId="0">
      <selection activeCell="E7" sqref="E7:F7"/>
    </sheetView>
  </sheetViews>
  <sheetFormatPr defaultRowHeight="15" x14ac:dyDescent="0.25"/>
  <cols>
    <col min="1" max="2" width="3.7109375" customWidth="1"/>
    <col min="5" max="5" width="12.28515625" customWidth="1"/>
    <col min="6" max="6" width="13.140625" customWidth="1"/>
    <col min="7" max="7" width="8" customWidth="1"/>
    <col min="8" max="8" width="12.7109375" customWidth="1"/>
    <col min="9" max="9" width="13.140625" customWidth="1"/>
    <col min="10" max="10" width="13.85546875" customWidth="1"/>
    <col min="11" max="11" width="13.28515625" customWidth="1"/>
    <col min="12" max="12" width="3.85546875" customWidth="1"/>
    <col min="13" max="13" width="3.7109375" customWidth="1"/>
  </cols>
  <sheetData>
    <row r="1" spans="2:12" ht="15" customHeight="1" thickBot="1" x14ac:dyDescent="0.3"/>
    <row r="2" spans="2:12" ht="8.25" customHeight="1" x14ac:dyDescent="0.25">
      <c r="B2" s="15"/>
      <c r="C2" s="16"/>
      <c r="D2" s="16"/>
      <c r="E2" s="16"/>
      <c r="F2" s="16"/>
      <c r="G2" s="16"/>
      <c r="H2" s="16"/>
      <c r="I2" s="16"/>
      <c r="J2" s="16"/>
      <c r="K2" s="157">
        <v>5</v>
      </c>
      <c r="L2" s="158"/>
    </row>
    <row r="3" spans="2:12" ht="15.75" x14ac:dyDescent="0.25">
      <c r="B3" s="18"/>
      <c r="C3" s="156" t="s">
        <v>205</v>
      </c>
      <c r="D3" s="156"/>
      <c r="E3" s="156"/>
      <c r="F3" s="156"/>
      <c r="G3" s="156"/>
      <c r="H3" s="156"/>
      <c r="I3" s="156"/>
      <c r="J3" s="156"/>
      <c r="K3" s="159"/>
      <c r="L3" s="160"/>
    </row>
    <row r="4" spans="2:12" x14ac:dyDescent="0.25">
      <c r="B4" s="18"/>
      <c r="C4" s="13"/>
      <c r="D4" s="2"/>
      <c r="E4" s="2"/>
      <c r="F4" s="2"/>
      <c r="G4" s="13" t="s">
        <v>0</v>
      </c>
      <c r="H4" s="2"/>
      <c r="I4" s="2"/>
      <c r="J4" s="2"/>
      <c r="K4" s="2"/>
      <c r="L4" s="19"/>
    </row>
    <row r="5" spans="2:12" x14ac:dyDescent="0.25">
      <c r="B5" s="18"/>
      <c r="C5" s="2"/>
      <c r="D5" s="2"/>
      <c r="E5" s="2"/>
      <c r="F5" s="2"/>
      <c r="G5" s="2"/>
      <c r="H5" s="2"/>
      <c r="I5" s="2"/>
      <c r="J5" s="13" t="s">
        <v>1</v>
      </c>
      <c r="K5" s="95">
        <v>1</v>
      </c>
      <c r="L5" s="19"/>
    </row>
    <row r="6" spans="2:12" ht="15.75" thickBot="1" x14ac:dyDescent="0.3">
      <c r="B6" s="18"/>
      <c r="C6" s="2"/>
      <c r="D6" s="2"/>
      <c r="E6" s="2"/>
      <c r="F6" s="2"/>
      <c r="G6" s="2"/>
      <c r="H6" s="2"/>
      <c r="I6" s="2"/>
      <c r="J6" s="2"/>
      <c r="K6" s="2"/>
      <c r="L6" s="19"/>
    </row>
    <row r="7" spans="2:12" ht="15.75" thickBot="1" x14ac:dyDescent="0.3">
      <c r="B7" s="18"/>
      <c r="C7" s="139" t="s">
        <v>107</v>
      </c>
      <c r="D7" s="139"/>
      <c r="E7" s="154"/>
      <c r="F7" s="155"/>
      <c r="G7" s="13"/>
      <c r="H7" s="13" t="s">
        <v>99</v>
      </c>
      <c r="I7" s="154"/>
      <c r="J7" s="155"/>
      <c r="K7" s="13"/>
      <c r="L7" s="19"/>
    </row>
    <row r="8" spans="2:12" ht="15.75" thickBot="1" x14ac:dyDescent="0.3">
      <c r="B8" s="18"/>
      <c r="C8" s="139" t="s">
        <v>80</v>
      </c>
      <c r="D8" s="139"/>
      <c r="E8" s="154"/>
      <c r="F8" s="155"/>
      <c r="G8" s="13"/>
      <c r="H8" s="20" t="s">
        <v>32</v>
      </c>
      <c r="I8" s="154"/>
      <c r="J8" s="155"/>
      <c r="K8" s="13"/>
      <c r="L8" s="19"/>
    </row>
    <row r="9" spans="2:12" ht="24.75" thickBot="1" x14ac:dyDescent="0.3">
      <c r="B9" s="18"/>
      <c r="C9" s="139" t="s">
        <v>138</v>
      </c>
      <c r="D9" s="139"/>
      <c r="E9" s="154"/>
      <c r="F9" s="155"/>
      <c r="G9" s="13"/>
      <c r="H9" s="79" t="s">
        <v>178</v>
      </c>
      <c r="I9" s="187"/>
      <c r="J9" s="189"/>
      <c r="K9" s="13"/>
      <c r="L9" s="19"/>
    </row>
    <row r="10" spans="2:12" ht="9" customHeight="1" x14ac:dyDescent="0.25">
      <c r="B10" s="18"/>
      <c r="C10" s="2"/>
      <c r="D10" s="2"/>
      <c r="E10" s="1"/>
      <c r="F10" s="1"/>
      <c r="G10" s="2"/>
      <c r="H10" s="2"/>
      <c r="I10" s="2"/>
      <c r="J10" s="2"/>
      <c r="K10" s="2"/>
      <c r="L10" s="19"/>
    </row>
    <row r="11" spans="2:12" ht="15" customHeight="1" x14ac:dyDescent="0.25">
      <c r="B11" s="18"/>
      <c r="C11" s="5" t="s">
        <v>195</v>
      </c>
      <c r="D11" s="2"/>
      <c r="E11" s="1"/>
      <c r="F11" s="1"/>
      <c r="G11" s="2"/>
      <c r="H11" s="5"/>
      <c r="I11" s="68"/>
      <c r="J11" s="68"/>
      <c r="K11" s="68"/>
      <c r="L11" s="23"/>
    </row>
    <row r="12" spans="2:12" ht="15" customHeight="1" x14ac:dyDescent="0.25">
      <c r="B12" s="18"/>
      <c r="C12" s="253"/>
      <c r="D12" s="254"/>
      <c r="E12" s="254"/>
      <c r="F12" s="254"/>
      <c r="G12" s="254"/>
      <c r="H12" s="254"/>
      <c r="I12" s="254"/>
      <c r="J12" s="254"/>
      <c r="K12" s="255"/>
      <c r="L12" s="23"/>
    </row>
    <row r="13" spans="2:12" ht="15" customHeight="1" x14ac:dyDescent="0.25">
      <c r="B13" s="18"/>
      <c r="C13" s="256"/>
      <c r="D13" s="257"/>
      <c r="E13" s="257"/>
      <c r="F13" s="257"/>
      <c r="G13" s="257"/>
      <c r="H13" s="257"/>
      <c r="I13" s="257"/>
      <c r="J13" s="257"/>
      <c r="K13" s="258"/>
      <c r="L13" s="23"/>
    </row>
    <row r="14" spans="2:12" ht="15" customHeight="1" x14ac:dyDescent="0.25">
      <c r="B14" s="18"/>
      <c r="C14" s="259"/>
      <c r="D14" s="260"/>
      <c r="E14" s="260"/>
      <c r="F14" s="260"/>
      <c r="G14" s="260"/>
      <c r="H14" s="260"/>
      <c r="I14" s="260"/>
      <c r="J14" s="260"/>
      <c r="K14" s="261"/>
      <c r="L14" s="23"/>
    </row>
    <row r="15" spans="2:12" x14ac:dyDescent="0.25">
      <c r="B15" s="18"/>
      <c r="C15" s="186" t="s">
        <v>121</v>
      </c>
      <c r="D15" s="186"/>
      <c r="E15" s="186"/>
      <c r="F15" s="186"/>
      <c r="G15" s="186"/>
      <c r="H15" s="186"/>
      <c r="I15" s="186"/>
      <c r="J15" s="186"/>
      <c r="K15" s="186"/>
      <c r="L15" s="25"/>
    </row>
    <row r="16" spans="2:12" x14ac:dyDescent="0.25">
      <c r="B16" s="18"/>
      <c r="C16" s="207" t="s">
        <v>173</v>
      </c>
      <c r="D16" s="207"/>
      <c r="E16" s="207"/>
      <c r="F16" s="207"/>
      <c r="G16" s="207"/>
      <c r="H16" s="207"/>
      <c r="I16" s="207"/>
      <c r="J16" s="207"/>
      <c r="K16" s="207"/>
      <c r="L16" s="25"/>
    </row>
    <row r="17" spans="2:12" x14ac:dyDescent="0.25">
      <c r="B17" s="18"/>
      <c r="C17" s="207"/>
      <c r="D17" s="207"/>
      <c r="E17" s="207"/>
      <c r="F17" s="207"/>
      <c r="G17" s="207"/>
      <c r="H17" s="207"/>
      <c r="I17" s="207"/>
      <c r="J17" s="207"/>
      <c r="K17" s="207"/>
      <c r="L17" s="25"/>
    </row>
    <row r="18" spans="2:12" x14ac:dyDescent="0.25">
      <c r="B18" s="18"/>
      <c r="C18" s="69"/>
      <c r="D18" s="69"/>
      <c r="E18" s="69"/>
      <c r="F18" s="69"/>
      <c r="G18" s="69"/>
      <c r="H18" s="69"/>
      <c r="I18" s="69"/>
      <c r="J18" s="69"/>
      <c r="K18" s="69"/>
      <c r="L18" s="25"/>
    </row>
    <row r="19" spans="2:12" ht="24.75" x14ac:dyDescent="0.25">
      <c r="B19" s="18"/>
      <c r="C19" s="246" t="s">
        <v>68</v>
      </c>
      <c r="D19" s="246"/>
      <c r="E19" s="53" t="s">
        <v>184</v>
      </c>
      <c r="F19" s="240" t="s">
        <v>14</v>
      </c>
      <c r="G19" s="241"/>
      <c r="H19" s="72" t="s">
        <v>9</v>
      </c>
      <c r="I19" s="72" t="s">
        <v>69</v>
      </c>
      <c r="J19" s="246" t="s">
        <v>59</v>
      </c>
      <c r="K19" s="246"/>
      <c r="L19" s="25"/>
    </row>
    <row r="20" spans="2:12" x14ac:dyDescent="0.25">
      <c r="B20" s="18"/>
      <c r="C20" s="202"/>
      <c r="D20" s="203"/>
      <c r="E20" s="95">
        <v>1</v>
      </c>
      <c r="F20" s="238"/>
      <c r="G20" s="242"/>
      <c r="H20" s="86"/>
      <c r="I20" s="86"/>
      <c r="J20" s="247"/>
      <c r="K20" s="248"/>
      <c r="L20" s="25"/>
    </row>
    <row r="21" spans="2:12" ht="15" customHeight="1" x14ac:dyDescent="0.25">
      <c r="B21" s="18"/>
      <c r="C21" s="202"/>
      <c r="D21" s="203"/>
      <c r="E21" s="95"/>
      <c r="F21" s="238"/>
      <c r="G21" s="242"/>
      <c r="H21" s="86"/>
      <c r="I21" s="86"/>
      <c r="J21" s="249"/>
      <c r="K21" s="250"/>
      <c r="L21" s="25"/>
    </row>
    <row r="22" spans="2:12" ht="15" customHeight="1" x14ac:dyDescent="0.25">
      <c r="B22" s="18"/>
      <c r="C22" s="202"/>
      <c r="D22" s="203"/>
      <c r="E22" s="95"/>
      <c r="F22" s="238"/>
      <c r="G22" s="242"/>
      <c r="H22" s="86"/>
      <c r="I22" s="86"/>
      <c r="J22" s="249"/>
      <c r="K22" s="250"/>
      <c r="L22" s="25"/>
    </row>
    <row r="23" spans="2:12" ht="15" customHeight="1" x14ac:dyDescent="0.25">
      <c r="B23" s="18"/>
      <c r="C23" s="202"/>
      <c r="D23" s="203"/>
      <c r="E23" s="95"/>
      <c r="F23" s="238"/>
      <c r="G23" s="242"/>
      <c r="H23" s="86"/>
      <c r="I23" s="86"/>
      <c r="J23" s="249"/>
      <c r="K23" s="250"/>
      <c r="L23" s="25"/>
    </row>
    <row r="24" spans="2:12" ht="15" customHeight="1" x14ac:dyDescent="0.25">
      <c r="B24" s="18"/>
      <c r="C24" s="202"/>
      <c r="D24" s="203"/>
      <c r="E24" s="95"/>
      <c r="F24" s="238"/>
      <c r="G24" s="242"/>
      <c r="H24" s="86"/>
      <c r="I24" s="86"/>
      <c r="J24" s="249"/>
      <c r="K24" s="250"/>
      <c r="L24" s="25"/>
    </row>
    <row r="25" spans="2:12" ht="15" customHeight="1" x14ac:dyDescent="0.25">
      <c r="B25" s="18"/>
      <c r="C25" s="202"/>
      <c r="D25" s="203"/>
      <c r="E25" s="95"/>
      <c r="F25" s="238"/>
      <c r="G25" s="242"/>
      <c r="H25" s="86"/>
      <c r="I25" s="86"/>
      <c r="J25" s="249"/>
      <c r="K25" s="250"/>
      <c r="L25" s="25"/>
    </row>
    <row r="26" spans="2:12" ht="15" customHeight="1" x14ac:dyDescent="0.25">
      <c r="B26" s="18"/>
      <c r="C26" s="202"/>
      <c r="D26" s="203"/>
      <c r="E26" s="95"/>
      <c r="F26" s="238"/>
      <c r="G26" s="242"/>
      <c r="H26" s="86"/>
      <c r="I26" s="86"/>
      <c r="J26" s="249"/>
      <c r="K26" s="250"/>
      <c r="L26" s="25"/>
    </row>
    <row r="27" spans="2:12" ht="15" customHeight="1" x14ac:dyDescent="0.25">
      <c r="B27" s="18"/>
      <c r="C27" s="202"/>
      <c r="D27" s="203"/>
      <c r="E27" s="95"/>
      <c r="F27" s="238"/>
      <c r="G27" s="242"/>
      <c r="H27" s="86"/>
      <c r="I27" s="86"/>
      <c r="J27" s="249"/>
      <c r="K27" s="250"/>
      <c r="L27" s="25"/>
    </row>
    <row r="28" spans="2:12" ht="15" customHeight="1" x14ac:dyDescent="0.25">
      <c r="B28" s="18"/>
      <c r="C28" s="202"/>
      <c r="D28" s="203"/>
      <c r="E28" s="95"/>
      <c r="F28" s="238"/>
      <c r="G28" s="242"/>
      <c r="H28" s="86"/>
      <c r="I28" s="86"/>
      <c r="J28" s="249"/>
      <c r="K28" s="250"/>
      <c r="L28" s="25"/>
    </row>
    <row r="29" spans="2:12" ht="15" customHeight="1" x14ac:dyDescent="0.25">
      <c r="B29" s="18"/>
      <c r="C29" s="202"/>
      <c r="D29" s="203"/>
      <c r="E29" s="95"/>
      <c r="F29" s="202"/>
      <c r="G29" s="203"/>
      <c r="H29" s="86"/>
      <c r="I29" s="86"/>
      <c r="J29" s="249"/>
      <c r="K29" s="250"/>
      <c r="L29" s="25"/>
    </row>
    <row r="30" spans="2:12" ht="15" customHeight="1" x14ac:dyDescent="0.25">
      <c r="B30" s="18"/>
      <c r="C30" s="202"/>
      <c r="D30" s="203"/>
      <c r="E30" s="95"/>
      <c r="F30" s="202"/>
      <c r="G30" s="203"/>
      <c r="H30" s="86"/>
      <c r="I30" s="86"/>
      <c r="J30" s="249"/>
      <c r="K30" s="250"/>
      <c r="L30" s="25"/>
    </row>
    <row r="31" spans="2:12" ht="15" customHeight="1" x14ac:dyDescent="0.25">
      <c r="B31" s="18"/>
      <c r="C31" s="202"/>
      <c r="D31" s="203"/>
      <c r="E31" s="95"/>
      <c r="F31" s="202"/>
      <c r="G31" s="203"/>
      <c r="H31" s="86"/>
      <c r="I31" s="86"/>
      <c r="J31" s="249"/>
      <c r="K31" s="250"/>
      <c r="L31" s="25"/>
    </row>
    <row r="32" spans="2:12" ht="15" customHeight="1" x14ac:dyDescent="0.25">
      <c r="B32" s="18"/>
      <c r="C32" s="202"/>
      <c r="D32" s="203"/>
      <c r="E32" s="95"/>
      <c r="F32" s="202"/>
      <c r="G32" s="203"/>
      <c r="H32" s="86"/>
      <c r="I32" s="86"/>
      <c r="J32" s="249"/>
      <c r="K32" s="250"/>
      <c r="L32" s="25"/>
    </row>
    <row r="33" spans="2:15" ht="15" customHeight="1" x14ac:dyDescent="0.25">
      <c r="B33" s="18"/>
      <c r="C33" s="202"/>
      <c r="D33" s="203"/>
      <c r="E33" s="95"/>
      <c r="F33" s="238"/>
      <c r="G33" s="242"/>
      <c r="H33" s="86"/>
      <c r="I33" s="86"/>
      <c r="J33" s="251"/>
      <c r="K33" s="252"/>
      <c r="L33" s="25"/>
    </row>
    <row r="34" spans="2:15" x14ac:dyDescent="0.25">
      <c r="B34" s="18"/>
      <c r="C34" s="13"/>
      <c r="D34" s="70"/>
      <c r="E34" s="70"/>
      <c r="F34" s="70"/>
      <c r="G34" s="13"/>
      <c r="H34" s="13"/>
      <c r="I34" s="13"/>
      <c r="J34" s="13"/>
      <c r="K34" s="13"/>
      <c r="L34" s="19"/>
    </row>
    <row r="35" spans="2:15" x14ac:dyDescent="0.25">
      <c r="B35" s="18"/>
      <c r="C35" s="13"/>
      <c r="D35" s="13"/>
      <c r="E35" s="13"/>
      <c r="F35" s="13"/>
      <c r="G35" s="13"/>
      <c r="H35" s="195" t="s">
        <v>14</v>
      </c>
      <c r="I35" s="196"/>
      <c r="J35" s="110" t="s">
        <v>9</v>
      </c>
      <c r="K35" s="13"/>
      <c r="L35" s="19"/>
    </row>
    <row r="36" spans="2:15" x14ac:dyDescent="0.25">
      <c r="B36" s="18"/>
      <c r="C36" s="13"/>
      <c r="D36" s="195" t="s">
        <v>100</v>
      </c>
      <c r="E36" s="200"/>
      <c r="F36" s="200"/>
      <c r="G36" s="196"/>
      <c r="H36" s="197"/>
      <c r="I36" s="198"/>
      <c r="J36" s="109">
        <f>SUM(H20:H33)</f>
        <v>0</v>
      </c>
      <c r="K36" s="13"/>
      <c r="L36" s="19"/>
    </row>
    <row r="37" spans="2:15" x14ac:dyDescent="0.25">
      <c r="B37" s="39"/>
      <c r="C37" s="10"/>
      <c r="D37" s="10"/>
      <c r="E37" s="10"/>
      <c r="F37" s="10"/>
      <c r="G37" s="10"/>
      <c r="H37" s="10"/>
      <c r="I37" s="10"/>
      <c r="J37" s="10"/>
      <c r="K37" s="10"/>
      <c r="L37" s="22"/>
    </row>
    <row r="38" spans="2:15" x14ac:dyDescent="0.25">
      <c r="B38" s="18"/>
      <c r="C38" s="190" t="s">
        <v>18</v>
      </c>
      <c r="D38" s="190"/>
      <c r="E38" s="13"/>
      <c r="F38" s="13"/>
      <c r="G38" s="13"/>
      <c r="H38" s="13"/>
      <c r="I38" s="13"/>
      <c r="J38" s="13"/>
      <c r="K38" s="13"/>
      <c r="L38" s="19"/>
    </row>
    <row r="39" spans="2:15" ht="16.5" customHeight="1" x14ac:dyDescent="0.25">
      <c r="B39" s="18"/>
      <c r="C39" s="13"/>
      <c r="D39" s="224" t="s">
        <v>106</v>
      </c>
      <c r="E39" s="224"/>
      <c r="F39" s="224"/>
      <c r="G39" s="224"/>
      <c r="H39" s="224"/>
      <c r="I39" s="224"/>
      <c r="J39" s="224"/>
      <c r="K39" s="224"/>
      <c r="L39" s="19"/>
    </row>
    <row r="40" spans="2:15" ht="16.5" customHeight="1" x14ac:dyDescent="0.25">
      <c r="B40" s="18"/>
      <c r="C40" s="13"/>
      <c r="D40" s="67"/>
      <c r="E40" s="67"/>
      <c r="F40" s="67"/>
      <c r="G40" s="67"/>
      <c r="H40" s="67"/>
      <c r="I40" s="67"/>
      <c r="J40" s="67"/>
      <c r="K40" s="67"/>
      <c r="L40" s="19"/>
    </row>
    <row r="41" spans="2:15" x14ac:dyDescent="0.25">
      <c r="B41" s="18"/>
      <c r="C41" s="13"/>
      <c r="D41" s="13"/>
      <c r="E41" s="13"/>
      <c r="F41" s="13"/>
      <c r="G41" s="13"/>
      <c r="H41" s="13"/>
      <c r="I41" s="13"/>
      <c r="J41" s="13"/>
      <c r="K41" s="13"/>
      <c r="L41" s="19"/>
    </row>
    <row r="42" spans="2:15" x14ac:dyDescent="0.25">
      <c r="B42" s="18"/>
      <c r="C42" s="13"/>
      <c r="D42" s="13"/>
      <c r="E42" s="13"/>
      <c r="H42" s="13"/>
      <c r="I42" s="10"/>
      <c r="J42" s="10"/>
      <c r="L42" s="19"/>
      <c r="O42" s="54"/>
    </row>
    <row r="43" spans="2:15" x14ac:dyDescent="0.25">
      <c r="B43" s="18"/>
      <c r="C43" s="43" t="s">
        <v>29</v>
      </c>
      <c r="D43" s="43"/>
      <c r="E43" s="43"/>
      <c r="H43" s="8"/>
      <c r="I43" s="43" t="s">
        <v>21</v>
      </c>
      <c r="J43" s="43"/>
      <c r="K43" s="43"/>
      <c r="L43" s="19"/>
      <c r="O43" s="54"/>
    </row>
    <row r="44" spans="2:15" x14ac:dyDescent="0.25">
      <c r="B44" s="18"/>
      <c r="C44" s="13" t="s">
        <v>186</v>
      </c>
      <c r="D44" s="13"/>
      <c r="E44" s="13" t="str">
        <f>IF(LEN(E7)&gt;0,E7,"")</f>
        <v/>
      </c>
      <c r="H44" s="13"/>
      <c r="I44" s="13" t="s">
        <v>19</v>
      </c>
      <c r="J44" s="13"/>
      <c r="L44" s="19"/>
      <c r="O44" s="54"/>
    </row>
    <row r="45" spans="2:15" x14ac:dyDescent="0.25">
      <c r="B45" s="18"/>
      <c r="C45" s="13" t="s">
        <v>19</v>
      </c>
      <c r="D45" s="13"/>
      <c r="E45" s="13"/>
      <c r="F45" s="13"/>
      <c r="G45" s="13"/>
      <c r="H45" s="13"/>
      <c r="I45" s="13"/>
      <c r="J45" s="13"/>
      <c r="K45" s="13"/>
      <c r="L45" s="19"/>
    </row>
    <row r="46" spans="2:15" ht="32.25" customHeight="1" x14ac:dyDescent="0.25">
      <c r="B46" s="18"/>
      <c r="C46" s="13"/>
      <c r="D46" s="13"/>
      <c r="E46" s="13"/>
      <c r="F46" s="13"/>
      <c r="G46" s="13"/>
      <c r="H46" s="13"/>
      <c r="I46" s="13"/>
      <c r="J46" s="13"/>
      <c r="K46" s="13"/>
      <c r="L46" s="19"/>
    </row>
    <row r="47" spans="2:15" x14ac:dyDescent="0.25">
      <c r="B47" s="18"/>
      <c r="C47" s="10"/>
      <c r="D47" s="10"/>
      <c r="E47" s="10"/>
      <c r="F47" s="13"/>
      <c r="G47" s="13"/>
      <c r="H47" s="13"/>
      <c r="I47" s="13"/>
      <c r="J47" s="13"/>
      <c r="K47" s="13"/>
      <c r="L47" s="19"/>
    </row>
    <row r="48" spans="2:15" x14ac:dyDescent="0.25">
      <c r="B48" s="18"/>
      <c r="C48" s="8" t="s">
        <v>118</v>
      </c>
      <c r="D48" s="8"/>
      <c r="E48" s="8"/>
      <c r="F48" s="13"/>
      <c r="G48" s="13"/>
      <c r="H48" s="13"/>
      <c r="I48" s="8"/>
      <c r="J48" s="8"/>
      <c r="K48" s="8"/>
      <c r="L48" s="19"/>
    </row>
    <row r="49" spans="2:12" x14ac:dyDescent="0.25">
      <c r="B49" s="18"/>
      <c r="C49" s="13" t="s">
        <v>19</v>
      </c>
      <c r="D49" s="13"/>
      <c r="E49" s="13"/>
      <c r="F49" s="13"/>
      <c r="G49" s="13"/>
      <c r="H49" s="13"/>
      <c r="I49" s="139"/>
      <c r="J49" s="139"/>
      <c r="K49" s="139"/>
      <c r="L49" s="19"/>
    </row>
    <row r="50" spans="2:12" x14ac:dyDescent="0.25">
      <c r="B50" s="18"/>
      <c r="C50" s="13"/>
      <c r="D50" s="13"/>
      <c r="E50" s="13"/>
      <c r="F50" s="13"/>
      <c r="G50" s="13"/>
      <c r="H50" s="13"/>
      <c r="I50" s="13"/>
      <c r="J50" s="13"/>
      <c r="K50" s="13"/>
      <c r="L50" s="19"/>
    </row>
    <row r="51" spans="2:12" x14ac:dyDescent="0.25">
      <c r="B51" s="37"/>
      <c r="C51" s="41" t="s">
        <v>31</v>
      </c>
      <c r="D51" s="31"/>
      <c r="E51" s="31"/>
      <c r="F51" s="31"/>
      <c r="G51" s="31"/>
      <c r="H51" s="31"/>
      <c r="I51" s="31"/>
      <c r="J51" s="31"/>
      <c r="K51" s="31"/>
      <c r="L51" s="38"/>
    </row>
    <row r="52" spans="2:12" x14ac:dyDescent="0.25">
      <c r="B52" s="18"/>
      <c r="C52" s="12">
        <v>1</v>
      </c>
      <c r="D52" s="137" t="s">
        <v>174</v>
      </c>
      <c r="E52" s="137"/>
      <c r="F52" s="12" t="s">
        <v>136</v>
      </c>
      <c r="G52" s="13"/>
      <c r="H52" s="13"/>
      <c r="I52" s="13"/>
      <c r="J52" s="13"/>
      <c r="K52" s="13"/>
      <c r="L52" s="19"/>
    </row>
    <row r="53" spans="2:12" x14ac:dyDescent="0.25">
      <c r="B53" s="18"/>
      <c r="C53" s="12">
        <v>2</v>
      </c>
      <c r="D53" s="137" t="s">
        <v>111</v>
      </c>
      <c r="E53" s="137"/>
      <c r="F53" s="12" t="str">
        <f>IF(IFERROR(VLOOKUP("Accommodation",$C$20:$D$33,1,FALSE),"Not Required")="Not Required","Not Required","Required")</f>
        <v>Not Required</v>
      </c>
      <c r="G53" s="13"/>
      <c r="H53" s="13"/>
      <c r="I53" s="13"/>
      <c r="J53" s="13"/>
      <c r="K53" s="13"/>
      <c r="L53" s="19"/>
    </row>
    <row r="54" spans="2:12" x14ac:dyDescent="0.25">
      <c r="B54" s="18"/>
      <c r="C54" s="12">
        <v>3</v>
      </c>
      <c r="D54" s="137" t="s">
        <v>61</v>
      </c>
      <c r="E54" s="138"/>
      <c r="F54" s="12" t="str">
        <f>IF(IFERROR(VLOOKUP("Car / Taxi / Train Fare",$C$20:$D$33,1,FALSE),"Not Required")="Not Required","Not Required","Required")</f>
        <v>Not Required</v>
      </c>
      <c r="G54" s="13"/>
      <c r="H54" s="13"/>
      <c r="I54" s="13"/>
      <c r="J54" s="13"/>
      <c r="K54" s="13"/>
      <c r="L54" s="19"/>
    </row>
    <row r="55" spans="2:12" x14ac:dyDescent="0.25">
      <c r="B55" s="18"/>
      <c r="C55" s="12">
        <v>4</v>
      </c>
      <c r="D55" s="137" t="s">
        <v>179</v>
      </c>
      <c r="E55" s="138"/>
      <c r="F55" s="12" t="str">
        <f>IF(IFERROR(VLOOKUP("Food expenses",$C$20:$D$33,1,FALSE),"Not Required")="Not Required","Not Required","Required")</f>
        <v>Not Required</v>
      </c>
      <c r="G55" s="13"/>
      <c r="H55" s="13"/>
      <c r="I55" s="13"/>
      <c r="J55" s="13"/>
      <c r="K55" s="13"/>
      <c r="L55" s="19"/>
    </row>
    <row r="56" spans="2:12" x14ac:dyDescent="0.25">
      <c r="B56" s="18"/>
      <c r="C56" s="115">
        <v>5</v>
      </c>
      <c r="D56" s="137" t="s">
        <v>148</v>
      </c>
      <c r="E56" s="137"/>
      <c r="F56" s="12" t="str">
        <f>IF(IFERROR(VLOOKUP("Client Entertainment",$C$20:$D$33,1,FALSE),"Not Required")="Not Required","Not Required","Required")</f>
        <v>Not Required</v>
      </c>
      <c r="G56" s="13"/>
      <c r="H56" s="13"/>
      <c r="I56" s="13"/>
      <c r="J56" s="13"/>
      <c r="K56" s="13"/>
      <c r="L56" s="19"/>
    </row>
    <row r="57" spans="2:12" x14ac:dyDescent="0.25">
      <c r="B57" s="18"/>
      <c r="C57" s="12">
        <v>6</v>
      </c>
      <c r="D57" s="137" t="s">
        <v>149</v>
      </c>
      <c r="E57" s="138"/>
      <c r="F57" s="12" t="str">
        <f>IF(IFERROR(VLOOKUP("Dept. - Staff Welfare",$C$20:$D$33,1,FALSE),"Not Required")="Not Required","Not Required","Required")</f>
        <v>Not Required</v>
      </c>
      <c r="G57" s="13"/>
      <c r="H57" s="13"/>
      <c r="I57" s="13"/>
      <c r="J57" s="13"/>
      <c r="K57" s="13"/>
      <c r="L57" s="19"/>
    </row>
    <row r="58" spans="2:12" x14ac:dyDescent="0.25">
      <c r="B58" s="18"/>
      <c r="C58" s="12">
        <v>7</v>
      </c>
      <c r="D58" s="137" t="s">
        <v>180</v>
      </c>
      <c r="E58" s="138"/>
      <c r="F58" s="12" t="str">
        <f>IF(IFERROR(VLOOKUP("Miscellaneous",$C$20:$D$33,1,FALSE),"Not Required")="Not Required","Not Required","Required")</f>
        <v>Not Required</v>
      </c>
      <c r="G58" s="13"/>
      <c r="H58" s="13"/>
      <c r="I58" s="13"/>
      <c r="J58" s="13"/>
      <c r="K58" s="13"/>
      <c r="L58" s="19"/>
    </row>
    <row r="59" spans="2:12" ht="12.75" customHeight="1" x14ac:dyDescent="0.25">
      <c r="B59" s="18"/>
      <c r="C59" s="13"/>
      <c r="D59" s="236"/>
      <c r="E59" s="236"/>
      <c r="F59" s="236"/>
      <c r="G59" s="236"/>
      <c r="H59" s="236"/>
      <c r="I59" s="236"/>
      <c r="J59" s="236"/>
      <c r="K59" s="236"/>
      <c r="L59" s="19"/>
    </row>
    <row r="60" spans="2:12" ht="9" customHeight="1" thickBot="1" x14ac:dyDescent="0.3">
      <c r="B60" s="28"/>
      <c r="C60" s="46" t="s">
        <v>23</v>
      </c>
      <c r="D60" s="45"/>
      <c r="E60" s="45"/>
      <c r="F60" s="45"/>
      <c r="G60" s="45"/>
      <c r="H60" s="44"/>
      <c r="I60" s="44"/>
      <c r="J60" s="44"/>
      <c r="K60" s="44"/>
      <c r="L60" s="30"/>
    </row>
  </sheetData>
  <sheetProtection algorithmName="SHA-512" hashValue="WI6cirv/M43/DGuRTW1SayN1LAZX15W8Os+FSQl/xW4AKonOMFzcvnq9kdug41Cvt0rZrda8Dg2OQPi7+r0V1A==" saltValue="8T/M925FwCd/Pw5vLSjDDQ==" spinCount="100000" sheet="1" scenarios="1" selectLockedCells="1"/>
  <mergeCells count="60">
    <mergeCell ref="C3:J3"/>
    <mergeCell ref="K2:L3"/>
    <mergeCell ref="D53:E53"/>
    <mergeCell ref="D54:E54"/>
    <mergeCell ref="D55:E55"/>
    <mergeCell ref="C26:D26"/>
    <mergeCell ref="F26:G26"/>
    <mergeCell ref="C27:D27"/>
    <mergeCell ref="C28:D28"/>
    <mergeCell ref="F28:G28"/>
    <mergeCell ref="C33:D33"/>
    <mergeCell ref="F33:G33"/>
    <mergeCell ref="C29:D29"/>
    <mergeCell ref="C30:D30"/>
    <mergeCell ref="C31:D31"/>
    <mergeCell ref="C32:D32"/>
    <mergeCell ref="D58:E58"/>
    <mergeCell ref="D56:E56"/>
    <mergeCell ref="D57:E57"/>
    <mergeCell ref="D59:K59"/>
    <mergeCell ref="F29:G29"/>
    <mergeCell ref="F30:G30"/>
    <mergeCell ref="F31:G31"/>
    <mergeCell ref="F32:G32"/>
    <mergeCell ref="C38:D38"/>
    <mergeCell ref="D39:K39"/>
    <mergeCell ref="I49:K49"/>
    <mergeCell ref="D52:E52"/>
    <mergeCell ref="H35:I35"/>
    <mergeCell ref="D36:G36"/>
    <mergeCell ref="H36:I36"/>
    <mergeCell ref="J20:K33"/>
    <mergeCell ref="F27:G27"/>
    <mergeCell ref="C24:D24"/>
    <mergeCell ref="F24:G24"/>
    <mergeCell ref="C25:D25"/>
    <mergeCell ref="F25:G25"/>
    <mergeCell ref="C22:D22"/>
    <mergeCell ref="F22:G22"/>
    <mergeCell ref="C23:D23"/>
    <mergeCell ref="F23:G23"/>
    <mergeCell ref="C20:D20"/>
    <mergeCell ref="F20:G20"/>
    <mergeCell ref="C21:D21"/>
    <mergeCell ref="F21:G21"/>
    <mergeCell ref="C19:D19"/>
    <mergeCell ref="F19:G19"/>
    <mergeCell ref="J19:K19"/>
    <mergeCell ref="C7:D7"/>
    <mergeCell ref="E7:F7"/>
    <mergeCell ref="I7:J7"/>
    <mergeCell ref="C8:D8"/>
    <mergeCell ref="E8:F8"/>
    <mergeCell ref="I8:J8"/>
    <mergeCell ref="C9:D9"/>
    <mergeCell ref="E9:F9"/>
    <mergeCell ref="I9:J9"/>
    <mergeCell ref="C15:K15"/>
    <mergeCell ref="C16:K17"/>
    <mergeCell ref="C12:K14"/>
  </mergeCells>
  <dataValidations count="1">
    <dataValidation type="list" allowBlank="1" showInputMessage="1" showErrorMessage="1" sqref="H36 F20:F33">
      <formula1>CURRENCY</formula1>
    </dataValidation>
  </dataValidations>
  <pageMargins left="0.7" right="0.7" top="0.75" bottom="0.75" header="0.3" footer="0.3"/>
  <pageSetup scale="75" fitToHeight="3" orientation="portrait" r:id="rId1"/>
  <headerFooter>
    <oddFooter>&amp;LRESTRICTED</oddFooter>
    <evenFooter>&amp;LRESTRICTED</evenFooter>
    <firstFooter>&amp;LRESTRICTED</first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References!$P$1:$P$3</xm:f>
          </x14:formula1>
          <xm:sqref>E9:F9</xm:sqref>
        </x14:dataValidation>
        <x14:dataValidation type="list" allowBlank="1" showInputMessage="1" showErrorMessage="1">
          <x14:formula1>
            <xm:f>References!$H$1:$H$51</xm:f>
          </x14:formula1>
          <xm:sqref>I20</xm:sqref>
        </x14:dataValidation>
        <x14:dataValidation type="list" allowBlank="1" showInputMessage="1" showErrorMessage="1">
          <x14:formula1>
            <xm:f>References!$O$1:$O$7</xm:f>
          </x14:formula1>
          <xm:sqref>C20:C33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B1:L62"/>
  <sheetViews>
    <sheetView showGridLines="0" showRowColHeaders="0" tabSelected="1" zoomScale="140" zoomScaleNormal="140" workbookViewId="0">
      <selection activeCell="C12" sqref="C12:K14"/>
    </sheetView>
  </sheetViews>
  <sheetFormatPr defaultRowHeight="15" x14ac:dyDescent="0.25"/>
  <cols>
    <col min="1" max="2" width="3.7109375" customWidth="1"/>
    <col min="5" max="5" width="12.7109375" customWidth="1"/>
    <col min="6" max="6" width="13.140625" customWidth="1"/>
    <col min="7" max="7" width="8" customWidth="1"/>
    <col min="8" max="8" width="12.7109375" customWidth="1"/>
    <col min="9" max="9" width="13.140625" customWidth="1"/>
    <col min="10" max="10" width="13.85546875" customWidth="1"/>
    <col min="11" max="11" width="13.28515625" customWidth="1"/>
    <col min="12" max="12" width="3.85546875" customWidth="1"/>
    <col min="13" max="13" width="3.7109375" customWidth="1"/>
  </cols>
  <sheetData>
    <row r="1" spans="2:12" ht="15" customHeight="1" thickBot="1" x14ac:dyDescent="0.3"/>
    <row r="2" spans="2:12" ht="8.25" customHeight="1" x14ac:dyDescent="0.25">
      <c r="B2" s="15"/>
      <c r="C2" s="16"/>
      <c r="D2" s="16"/>
      <c r="E2" s="16"/>
      <c r="F2" s="16"/>
      <c r="G2" s="16"/>
      <c r="H2" s="16"/>
      <c r="I2" s="16"/>
      <c r="J2" s="16"/>
      <c r="K2" s="157">
        <v>6</v>
      </c>
      <c r="L2" s="158"/>
    </row>
    <row r="3" spans="2:12" ht="15.75" x14ac:dyDescent="0.25">
      <c r="B3" s="18"/>
      <c r="C3" s="156" t="s">
        <v>206</v>
      </c>
      <c r="D3" s="156"/>
      <c r="E3" s="156"/>
      <c r="F3" s="156"/>
      <c r="G3" s="156"/>
      <c r="H3" s="156"/>
      <c r="I3" s="156"/>
      <c r="J3" s="156"/>
      <c r="K3" s="159"/>
      <c r="L3" s="160"/>
    </row>
    <row r="4" spans="2:12" x14ac:dyDescent="0.25">
      <c r="B4" s="18"/>
      <c r="C4" s="13"/>
      <c r="D4" s="2"/>
      <c r="E4" s="2"/>
      <c r="F4" s="2"/>
      <c r="G4" s="13" t="s">
        <v>0</v>
      </c>
      <c r="H4" s="2"/>
      <c r="I4" s="2"/>
      <c r="J4" s="2"/>
      <c r="K4" s="2"/>
      <c r="L4" s="19"/>
    </row>
    <row r="5" spans="2:12" x14ac:dyDescent="0.25">
      <c r="B5" s="18"/>
      <c r="C5" s="2"/>
      <c r="D5" s="2"/>
      <c r="E5" s="2"/>
      <c r="F5" s="2"/>
      <c r="G5" s="2"/>
      <c r="H5" s="2"/>
      <c r="I5" s="2"/>
      <c r="J5" s="13" t="s">
        <v>1</v>
      </c>
      <c r="K5" s="95"/>
      <c r="L5" s="19"/>
    </row>
    <row r="6" spans="2:12" ht="15.75" thickBot="1" x14ac:dyDescent="0.3">
      <c r="B6" s="18"/>
      <c r="C6" s="2"/>
      <c r="D6" s="2"/>
      <c r="E6" s="2"/>
      <c r="F6" s="2"/>
      <c r="G6" s="2"/>
      <c r="H6" s="2"/>
      <c r="I6" s="2"/>
      <c r="J6" s="2"/>
      <c r="K6" s="2"/>
      <c r="L6" s="19"/>
    </row>
    <row r="7" spans="2:12" ht="15.75" thickBot="1" x14ac:dyDescent="0.3">
      <c r="B7" s="18"/>
      <c r="C7" s="139" t="s">
        <v>107</v>
      </c>
      <c r="D7" s="139"/>
      <c r="E7" s="154"/>
      <c r="F7" s="155"/>
      <c r="G7" s="13"/>
      <c r="H7" s="13" t="s">
        <v>99</v>
      </c>
      <c r="I7" s="154"/>
      <c r="J7" s="155"/>
      <c r="K7" s="13"/>
      <c r="L7" s="19"/>
    </row>
    <row r="8" spans="2:12" ht="15.75" thickBot="1" x14ac:dyDescent="0.3">
      <c r="B8" s="18"/>
      <c r="C8" s="139" t="s">
        <v>80</v>
      </c>
      <c r="D8" s="139"/>
      <c r="E8" s="154"/>
      <c r="F8" s="155"/>
      <c r="G8" s="13"/>
      <c r="H8" s="20" t="s">
        <v>32</v>
      </c>
      <c r="I8" s="154"/>
      <c r="J8" s="155"/>
      <c r="K8" s="13"/>
      <c r="L8" s="19"/>
    </row>
    <row r="9" spans="2:12" ht="15.75" customHeight="1" thickBot="1" x14ac:dyDescent="0.3">
      <c r="B9" s="18"/>
      <c r="C9" s="139" t="s">
        <v>138</v>
      </c>
      <c r="D9" s="139"/>
      <c r="E9" s="154"/>
      <c r="F9" s="155"/>
      <c r="G9" s="2"/>
      <c r="H9" s="2"/>
      <c r="I9" s="2"/>
      <c r="J9" s="2"/>
      <c r="K9" s="2"/>
      <c r="L9" s="19"/>
    </row>
    <row r="10" spans="2:12" ht="12" customHeight="1" x14ac:dyDescent="0.25">
      <c r="B10" s="18"/>
      <c r="C10" s="66"/>
      <c r="D10" s="66"/>
      <c r="E10" s="71"/>
      <c r="F10" s="71"/>
      <c r="G10" s="2"/>
      <c r="H10" s="2"/>
      <c r="I10" s="2"/>
      <c r="J10" s="2"/>
      <c r="K10" s="2"/>
      <c r="L10" s="19"/>
    </row>
    <row r="11" spans="2:12" ht="15" customHeight="1" x14ac:dyDescent="0.25">
      <c r="B11" s="18"/>
      <c r="C11" s="5" t="s">
        <v>195</v>
      </c>
      <c r="D11" s="2"/>
      <c r="E11" s="73"/>
      <c r="F11" s="1"/>
      <c r="G11" s="2"/>
      <c r="H11" s="5"/>
      <c r="I11" s="48"/>
      <c r="J11" s="48"/>
      <c r="K11" s="48"/>
      <c r="L11" s="23"/>
    </row>
    <row r="12" spans="2:12" ht="15" customHeight="1" x14ac:dyDescent="0.25">
      <c r="B12" s="18"/>
      <c r="C12" s="245"/>
      <c r="D12" s="245"/>
      <c r="E12" s="245"/>
      <c r="F12" s="245"/>
      <c r="G12" s="245"/>
      <c r="H12" s="245"/>
      <c r="I12" s="245"/>
      <c r="J12" s="245"/>
      <c r="K12" s="245"/>
      <c r="L12" s="23"/>
    </row>
    <row r="13" spans="2:12" ht="15" customHeight="1" x14ac:dyDescent="0.25">
      <c r="B13" s="18"/>
      <c r="C13" s="245"/>
      <c r="D13" s="245"/>
      <c r="E13" s="245"/>
      <c r="F13" s="245"/>
      <c r="G13" s="245"/>
      <c r="H13" s="245"/>
      <c r="I13" s="245"/>
      <c r="J13" s="245"/>
      <c r="K13" s="245"/>
      <c r="L13" s="23"/>
    </row>
    <row r="14" spans="2:12" ht="15" customHeight="1" x14ac:dyDescent="0.25">
      <c r="B14" s="18"/>
      <c r="C14" s="245"/>
      <c r="D14" s="245"/>
      <c r="E14" s="245"/>
      <c r="F14" s="245"/>
      <c r="G14" s="245"/>
      <c r="H14" s="245"/>
      <c r="I14" s="245"/>
      <c r="J14" s="245"/>
      <c r="K14" s="245"/>
      <c r="L14" s="23"/>
    </row>
    <row r="15" spans="2:12" x14ac:dyDescent="0.25">
      <c r="B15" s="18"/>
      <c r="C15" s="186" t="s">
        <v>26</v>
      </c>
      <c r="D15" s="186"/>
      <c r="E15" s="186"/>
      <c r="F15" s="186"/>
      <c r="G15" s="186"/>
      <c r="H15" s="186"/>
      <c r="I15" s="186"/>
      <c r="J15" s="186"/>
      <c r="K15" s="186"/>
      <c r="L15" s="25"/>
    </row>
    <row r="16" spans="2:12" x14ac:dyDescent="0.25">
      <c r="B16" s="18"/>
      <c r="C16" s="49"/>
      <c r="D16" s="49"/>
      <c r="E16" s="49"/>
      <c r="F16" s="49"/>
      <c r="G16" s="49"/>
      <c r="H16" s="49"/>
      <c r="I16" s="49"/>
      <c r="J16" s="49"/>
      <c r="K16" s="49"/>
      <c r="L16" s="25"/>
    </row>
    <row r="17" spans="2:12" ht="24.75" x14ac:dyDescent="0.25">
      <c r="B17" s="18"/>
      <c r="C17" s="246" t="s">
        <v>68</v>
      </c>
      <c r="D17" s="246"/>
      <c r="E17" s="53" t="s">
        <v>184</v>
      </c>
      <c r="F17" s="243" t="s">
        <v>14</v>
      </c>
      <c r="G17" s="244"/>
      <c r="H17" s="53" t="s">
        <v>9</v>
      </c>
      <c r="I17" s="53" t="s">
        <v>69</v>
      </c>
      <c r="J17" s="246" t="s">
        <v>59</v>
      </c>
      <c r="K17" s="246"/>
      <c r="L17" s="25"/>
    </row>
    <row r="18" spans="2:12" ht="15" customHeight="1" x14ac:dyDescent="0.25">
      <c r="B18" s="18"/>
      <c r="C18" s="262"/>
      <c r="D18" s="264"/>
      <c r="E18" s="95"/>
      <c r="F18" s="262"/>
      <c r="G18" s="264"/>
      <c r="H18" s="90"/>
      <c r="I18" s="90"/>
      <c r="J18" s="247"/>
      <c r="K18" s="248"/>
      <c r="L18" s="25"/>
    </row>
    <row r="19" spans="2:12" ht="15" customHeight="1" x14ac:dyDescent="0.25">
      <c r="B19" s="18"/>
      <c r="C19" s="262"/>
      <c r="D19" s="264"/>
      <c r="E19" s="95"/>
      <c r="F19" s="262"/>
      <c r="G19" s="264"/>
      <c r="H19" s="90"/>
      <c r="I19" s="90"/>
      <c r="J19" s="249"/>
      <c r="K19" s="250"/>
      <c r="L19" s="25"/>
    </row>
    <row r="20" spans="2:12" ht="15" customHeight="1" x14ac:dyDescent="0.25">
      <c r="B20" s="18"/>
      <c r="C20" s="262"/>
      <c r="D20" s="264"/>
      <c r="E20" s="95"/>
      <c r="F20" s="262"/>
      <c r="G20" s="263"/>
      <c r="H20" s="90"/>
      <c r="I20" s="90"/>
      <c r="J20" s="249"/>
      <c r="K20" s="250"/>
      <c r="L20" s="25"/>
    </row>
    <row r="21" spans="2:12" ht="15" customHeight="1" x14ac:dyDescent="0.25">
      <c r="B21" s="18"/>
      <c r="C21" s="262"/>
      <c r="D21" s="264"/>
      <c r="E21" s="95"/>
      <c r="F21" s="262"/>
      <c r="G21" s="263"/>
      <c r="H21" s="90"/>
      <c r="I21" s="90"/>
      <c r="J21" s="249"/>
      <c r="K21" s="250"/>
      <c r="L21" s="25"/>
    </row>
    <row r="22" spans="2:12" ht="15" customHeight="1" x14ac:dyDescent="0.25">
      <c r="B22" s="18"/>
      <c r="C22" s="262"/>
      <c r="D22" s="264"/>
      <c r="E22" s="95"/>
      <c r="F22" s="262"/>
      <c r="G22" s="263"/>
      <c r="H22" s="90"/>
      <c r="I22" s="90"/>
      <c r="J22" s="249"/>
      <c r="K22" s="250"/>
      <c r="L22" s="25"/>
    </row>
    <row r="23" spans="2:12" ht="15" customHeight="1" x14ac:dyDescent="0.25">
      <c r="B23" s="18"/>
      <c r="C23" s="262"/>
      <c r="D23" s="264"/>
      <c r="E23" s="95"/>
      <c r="F23" s="262"/>
      <c r="G23" s="263"/>
      <c r="H23" s="90"/>
      <c r="I23" s="90"/>
      <c r="J23" s="249"/>
      <c r="K23" s="250"/>
      <c r="L23" s="25"/>
    </row>
    <row r="24" spans="2:12" ht="15" customHeight="1" x14ac:dyDescent="0.25">
      <c r="B24" s="18"/>
      <c r="C24" s="262"/>
      <c r="D24" s="264"/>
      <c r="E24" s="95"/>
      <c r="F24" s="262"/>
      <c r="G24" s="263"/>
      <c r="H24" s="90"/>
      <c r="I24" s="90"/>
      <c r="J24" s="249"/>
      <c r="K24" s="250"/>
      <c r="L24" s="25"/>
    </row>
    <row r="25" spans="2:12" ht="15" customHeight="1" x14ac:dyDescent="0.25">
      <c r="B25" s="18"/>
      <c r="C25" s="262"/>
      <c r="D25" s="264"/>
      <c r="E25" s="95"/>
      <c r="F25" s="262"/>
      <c r="G25" s="263"/>
      <c r="H25" s="90"/>
      <c r="I25" s="90"/>
      <c r="J25" s="249"/>
      <c r="K25" s="250"/>
      <c r="L25" s="25"/>
    </row>
    <row r="26" spans="2:12" ht="15" customHeight="1" x14ac:dyDescent="0.25">
      <c r="B26" s="18"/>
      <c r="C26" s="262"/>
      <c r="D26" s="264"/>
      <c r="E26" s="95"/>
      <c r="F26" s="262"/>
      <c r="G26" s="263"/>
      <c r="H26" s="90"/>
      <c r="I26" s="90"/>
      <c r="J26" s="249"/>
      <c r="K26" s="250"/>
      <c r="L26" s="25"/>
    </row>
    <row r="27" spans="2:12" ht="15" customHeight="1" x14ac:dyDescent="0.25">
      <c r="B27" s="18"/>
      <c r="C27" s="262"/>
      <c r="D27" s="264"/>
      <c r="E27" s="95"/>
      <c r="F27" s="262"/>
      <c r="G27" s="263"/>
      <c r="H27" s="90"/>
      <c r="I27" s="90"/>
      <c r="J27" s="251"/>
      <c r="K27" s="252"/>
      <c r="L27" s="25"/>
    </row>
    <row r="28" spans="2:12" x14ac:dyDescent="0.25">
      <c r="B28" s="18"/>
      <c r="C28" s="13"/>
      <c r="D28" s="47"/>
      <c r="E28" s="47"/>
      <c r="F28" s="47"/>
      <c r="G28" s="13"/>
      <c r="H28" s="13"/>
      <c r="I28" s="13"/>
      <c r="J28" s="13"/>
      <c r="K28" s="13"/>
      <c r="L28" s="19"/>
    </row>
    <row r="29" spans="2:12" x14ac:dyDescent="0.25">
      <c r="B29" s="18"/>
      <c r="C29" s="13"/>
      <c r="D29" s="13"/>
      <c r="E29" s="13"/>
      <c r="F29" s="13"/>
      <c r="G29" s="13"/>
      <c r="H29" s="195" t="s">
        <v>14</v>
      </c>
      <c r="I29" s="196"/>
      <c r="J29" s="110" t="s">
        <v>9</v>
      </c>
      <c r="K29" s="13"/>
      <c r="L29" s="19"/>
    </row>
    <row r="30" spans="2:12" x14ac:dyDescent="0.25">
      <c r="B30" s="18"/>
      <c r="C30" s="13"/>
      <c r="D30" s="195" t="s">
        <v>100</v>
      </c>
      <c r="E30" s="200"/>
      <c r="F30" s="200"/>
      <c r="G30" s="196"/>
      <c r="H30" s="197" t="s">
        <v>58</v>
      </c>
      <c r="I30" s="198"/>
      <c r="J30" s="109"/>
      <c r="K30" s="13"/>
      <c r="L30" s="19"/>
    </row>
    <row r="31" spans="2:12" x14ac:dyDescent="0.25">
      <c r="B31" s="18"/>
      <c r="C31" s="13"/>
      <c r="D31" s="33"/>
      <c r="E31" s="33"/>
      <c r="F31" s="33"/>
      <c r="G31" s="33"/>
      <c r="H31" s="13"/>
      <c r="I31" s="13"/>
      <c r="J31" s="13"/>
      <c r="K31" s="13"/>
      <c r="L31" s="19"/>
    </row>
    <row r="32" spans="2:12" x14ac:dyDescent="0.25">
      <c r="B32" s="18"/>
      <c r="C32" s="190" t="s">
        <v>128</v>
      </c>
      <c r="D32" s="190"/>
      <c r="E32" s="33"/>
      <c r="F32" s="33"/>
      <c r="G32" s="33"/>
      <c r="H32" s="13"/>
      <c r="I32" s="13"/>
      <c r="J32" s="13"/>
      <c r="K32" s="13"/>
      <c r="L32" s="19"/>
    </row>
    <row r="33" spans="2:12" x14ac:dyDescent="0.25">
      <c r="B33" s="18"/>
      <c r="C33" s="13"/>
      <c r="D33" s="139" t="s">
        <v>129</v>
      </c>
      <c r="E33" s="139"/>
      <c r="F33" s="235"/>
      <c r="G33" s="235"/>
      <c r="H33" s="235"/>
      <c r="I33" s="13"/>
      <c r="J33" s="13"/>
      <c r="K33" s="13"/>
      <c r="L33" s="19"/>
    </row>
    <row r="34" spans="2:12" x14ac:dyDescent="0.25">
      <c r="B34" s="18"/>
      <c r="C34" s="13"/>
      <c r="D34" s="139" t="s">
        <v>130</v>
      </c>
      <c r="E34" s="234"/>
      <c r="F34" s="237"/>
      <c r="G34" s="237"/>
      <c r="H34" s="237"/>
      <c r="I34" s="13"/>
      <c r="J34" s="13"/>
      <c r="K34" s="13"/>
      <c r="L34" s="19"/>
    </row>
    <row r="35" spans="2:12" x14ac:dyDescent="0.25">
      <c r="B35" s="18"/>
      <c r="C35" s="13"/>
      <c r="D35" s="139" t="s">
        <v>131</v>
      </c>
      <c r="E35" s="234"/>
      <c r="F35" s="235"/>
      <c r="G35" s="235"/>
      <c r="H35" s="235"/>
      <c r="I35" s="13"/>
      <c r="J35" s="13"/>
      <c r="K35" s="13"/>
      <c r="L35" s="19"/>
    </row>
    <row r="36" spans="2:12" x14ac:dyDescent="0.25">
      <c r="B36" s="18"/>
      <c r="C36" s="13"/>
      <c r="D36" s="139" t="s">
        <v>132</v>
      </c>
      <c r="E36" s="234"/>
      <c r="F36" s="235"/>
      <c r="G36" s="235"/>
      <c r="H36" s="235"/>
      <c r="I36" s="13"/>
      <c r="J36" s="13"/>
      <c r="K36" s="13"/>
      <c r="L36" s="19"/>
    </row>
    <row r="37" spans="2:12" x14ac:dyDescent="0.25">
      <c r="B37" s="39"/>
      <c r="C37" s="10"/>
      <c r="D37" s="10"/>
      <c r="E37" s="10"/>
      <c r="F37" s="10"/>
      <c r="G37" s="10"/>
      <c r="H37" s="10"/>
      <c r="I37" s="10"/>
      <c r="J37" s="10"/>
      <c r="K37" s="10"/>
      <c r="L37" s="22"/>
    </row>
    <row r="38" spans="2:12" x14ac:dyDescent="0.25">
      <c r="B38" s="18"/>
      <c r="C38" s="190" t="s">
        <v>18</v>
      </c>
      <c r="D38" s="190"/>
      <c r="E38" s="13"/>
      <c r="F38" s="13"/>
      <c r="G38" s="13"/>
      <c r="H38" s="13"/>
      <c r="I38" s="13"/>
      <c r="J38" s="13"/>
      <c r="K38" s="13"/>
      <c r="L38" s="19"/>
    </row>
    <row r="39" spans="2:12" ht="16.5" customHeight="1" x14ac:dyDescent="0.25">
      <c r="B39" s="18"/>
      <c r="C39" s="13"/>
      <c r="D39" s="224" t="s">
        <v>106</v>
      </c>
      <c r="E39" s="224"/>
      <c r="F39" s="224"/>
      <c r="G39" s="224"/>
      <c r="H39" s="224"/>
      <c r="I39" s="224"/>
      <c r="J39" s="224"/>
      <c r="K39" s="224"/>
      <c r="L39" s="19"/>
    </row>
    <row r="40" spans="2:12" ht="16.5" customHeight="1" x14ac:dyDescent="0.25">
      <c r="B40" s="18"/>
      <c r="C40" s="13"/>
      <c r="D40" s="51"/>
      <c r="E40" s="51"/>
      <c r="F40" s="51"/>
      <c r="G40" s="51"/>
      <c r="H40" s="51"/>
      <c r="I40" s="51"/>
      <c r="J40" s="51"/>
      <c r="K40" s="51"/>
      <c r="L40" s="19"/>
    </row>
    <row r="41" spans="2:12" ht="18" customHeight="1" x14ac:dyDescent="0.25">
      <c r="B41" s="18"/>
      <c r="C41" s="13"/>
      <c r="D41" s="13"/>
      <c r="E41" s="13"/>
      <c r="F41" s="13"/>
      <c r="G41" s="13"/>
      <c r="H41" s="13"/>
      <c r="I41" s="13"/>
      <c r="J41" s="13"/>
      <c r="K41" s="13"/>
      <c r="L41" s="19"/>
    </row>
    <row r="42" spans="2:12" x14ac:dyDescent="0.25">
      <c r="B42" s="18"/>
      <c r="C42" s="13"/>
      <c r="D42" s="13"/>
      <c r="E42" s="13"/>
      <c r="H42" s="13"/>
      <c r="I42" s="10"/>
      <c r="J42" s="10"/>
      <c r="L42" s="19"/>
    </row>
    <row r="43" spans="2:12" x14ac:dyDescent="0.25">
      <c r="B43" s="18"/>
      <c r="C43" s="43" t="s">
        <v>29</v>
      </c>
      <c r="D43" s="43"/>
      <c r="E43" s="43"/>
      <c r="H43" s="8"/>
      <c r="I43" s="8" t="s">
        <v>20</v>
      </c>
      <c r="J43" s="8"/>
      <c r="L43" s="19"/>
    </row>
    <row r="44" spans="2:12" x14ac:dyDescent="0.25">
      <c r="B44" s="18"/>
      <c r="C44" s="13" t="s">
        <v>186</v>
      </c>
      <c r="D44" s="13"/>
      <c r="E44" s="13" t="str">
        <f>IF(LEN(E7)&gt;0,E7,"")</f>
        <v/>
      </c>
      <c r="H44" s="13"/>
      <c r="I44" s="13" t="s">
        <v>187</v>
      </c>
      <c r="J44" s="13"/>
      <c r="L44" s="19"/>
    </row>
    <row r="45" spans="2:12" x14ac:dyDescent="0.25">
      <c r="B45" s="18"/>
      <c r="C45" s="13" t="s">
        <v>19</v>
      </c>
      <c r="D45" s="13"/>
      <c r="E45" s="13"/>
      <c r="F45" s="13"/>
      <c r="G45" s="13"/>
      <c r="H45" s="13"/>
      <c r="I45" s="13" t="s">
        <v>19</v>
      </c>
      <c r="J45" s="13"/>
      <c r="K45" s="13"/>
      <c r="L45" s="19"/>
    </row>
    <row r="46" spans="2:12" ht="33" customHeight="1" x14ac:dyDescent="0.25">
      <c r="B46" s="18"/>
      <c r="C46" s="13"/>
      <c r="D46" s="13"/>
      <c r="E46" s="13"/>
      <c r="F46" s="13"/>
      <c r="G46" s="13"/>
      <c r="H46" s="13"/>
      <c r="I46" s="13"/>
      <c r="J46" s="13"/>
      <c r="K46" s="13"/>
      <c r="L46" s="19"/>
    </row>
    <row r="47" spans="2:12" x14ac:dyDescent="0.25">
      <c r="B47" s="18"/>
      <c r="C47" s="13"/>
      <c r="D47" s="13"/>
      <c r="E47" s="13"/>
      <c r="F47" s="13"/>
      <c r="G47" s="13"/>
      <c r="H47" s="13"/>
      <c r="I47" s="10"/>
      <c r="J47" s="10"/>
      <c r="K47" s="13"/>
      <c r="L47" s="19"/>
    </row>
    <row r="48" spans="2:12" x14ac:dyDescent="0.25">
      <c r="B48" s="18"/>
      <c r="C48" s="43" t="s">
        <v>21</v>
      </c>
      <c r="D48" s="43"/>
      <c r="E48" s="43"/>
      <c r="F48" s="13"/>
      <c r="G48" s="13"/>
      <c r="H48" s="13"/>
      <c r="I48" s="8" t="s">
        <v>118</v>
      </c>
      <c r="J48" s="8"/>
      <c r="K48" s="8"/>
      <c r="L48" s="19"/>
    </row>
    <row r="49" spans="2:12" x14ac:dyDescent="0.25">
      <c r="B49" s="18"/>
      <c r="C49" s="13" t="s">
        <v>19</v>
      </c>
      <c r="D49" s="13"/>
      <c r="E49" s="13"/>
      <c r="F49" s="13"/>
      <c r="G49" s="13"/>
      <c r="H49" s="13"/>
      <c r="I49" s="139" t="s">
        <v>19</v>
      </c>
      <c r="J49" s="139"/>
      <c r="K49" s="139"/>
      <c r="L49" s="19"/>
    </row>
    <row r="50" spans="2:12" x14ac:dyDescent="0.25">
      <c r="B50" s="18"/>
      <c r="C50" s="13"/>
      <c r="D50" s="13"/>
      <c r="E50" s="13"/>
      <c r="F50" s="13"/>
      <c r="G50" s="13"/>
      <c r="H50" s="13"/>
      <c r="I50" s="13"/>
      <c r="J50" s="13"/>
      <c r="K50" s="13"/>
      <c r="L50" s="19"/>
    </row>
    <row r="51" spans="2:12" x14ac:dyDescent="0.25">
      <c r="B51" s="37"/>
      <c r="C51" s="41" t="s">
        <v>31</v>
      </c>
      <c r="D51" s="31"/>
      <c r="E51" s="31"/>
      <c r="F51" s="31"/>
      <c r="G51" s="31"/>
      <c r="H51" s="31"/>
      <c r="I51" s="31"/>
      <c r="J51" s="31"/>
      <c r="K51" s="31"/>
      <c r="L51" s="38"/>
    </row>
    <row r="52" spans="2:12" x14ac:dyDescent="0.25">
      <c r="B52" s="18"/>
      <c r="C52" s="12">
        <v>1</v>
      </c>
      <c r="D52" s="137" t="s">
        <v>148</v>
      </c>
      <c r="E52" s="137"/>
      <c r="F52" s="12" t="str">
        <f>IF(IFERROR(VLOOKUP("Client Entertainment",$C$18:$D$27,1,FALSE),"Not Required")="Not Required","Not Required","Required")</f>
        <v>Not Required</v>
      </c>
      <c r="G52" s="13"/>
      <c r="H52" s="13"/>
      <c r="I52" s="13"/>
      <c r="J52" s="13"/>
      <c r="K52" s="13"/>
      <c r="L52" s="19"/>
    </row>
    <row r="53" spans="2:12" x14ac:dyDescent="0.25">
      <c r="B53" s="18"/>
      <c r="C53" s="12">
        <v>2</v>
      </c>
      <c r="D53" s="137" t="s">
        <v>149</v>
      </c>
      <c r="E53" s="138"/>
      <c r="F53" s="12" t="str">
        <f>IF(IFERROR(VLOOKUP("Dept. - Staff Welfare",$C$18:$D$27,1,FALSE),"Not Required")="Not Required","Not Required","Required")</f>
        <v>Not Required</v>
      </c>
      <c r="G53" s="13"/>
      <c r="H53" s="13"/>
      <c r="I53" s="13"/>
      <c r="J53" s="13"/>
      <c r="K53" s="13"/>
      <c r="L53" s="19"/>
    </row>
    <row r="54" spans="2:12" x14ac:dyDescent="0.25">
      <c r="B54" s="18"/>
      <c r="C54" s="12">
        <v>3</v>
      </c>
      <c r="D54" s="137" t="s">
        <v>151</v>
      </c>
      <c r="E54" s="138"/>
      <c r="F54" s="12" t="str">
        <f>IF(IFERROR(VLOOKUP("External Courses",$C$18:$D$27,1,FALSE),"Not Required")="Not Required","Not Required","Required")</f>
        <v>Not Required</v>
      </c>
      <c r="G54" s="13"/>
      <c r="H54" s="13"/>
      <c r="I54" s="13"/>
      <c r="J54" s="13"/>
      <c r="K54" s="13"/>
      <c r="L54" s="19"/>
    </row>
    <row r="55" spans="2:12" x14ac:dyDescent="0.25">
      <c r="B55" s="18"/>
      <c r="C55" s="12">
        <v>4</v>
      </c>
      <c r="D55" s="116" t="s">
        <v>152</v>
      </c>
      <c r="E55" s="117"/>
      <c r="F55" s="12" t="str">
        <f>IF(IFERROR(VLOOKUP("Local Conveyance",$C$18:$D$27,1,FALSE),"Not Required")="Not Required","Not Required","Required")</f>
        <v>Not Required</v>
      </c>
      <c r="G55" s="13"/>
      <c r="H55" s="13"/>
      <c r="I55" s="13"/>
      <c r="J55" s="13"/>
      <c r="K55" s="13"/>
      <c r="L55" s="19"/>
    </row>
    <row r="56" spans="2:12" x14ac:dyDescent="0.25">
      <c r="B56" s="18"/>
      <c r="C56" s="12">
        <v>5</v>
      </c>
      <c r="D56" s="116" t="s">
        <v>153</v>
      </c>
      <c r="E56" s="117"/>
      <c r="F56" s="12" t="str">
        <f>IF(IFERROR(VLOOKUP("Training - Others",$C$18:$D$27,1,FALSE),"Not Required")="Not Required","Not Required","Required")</f>
        <v>Not Required</v>
      </c>
      <c r="G56" s="13"/>
      <c r="H56" s="13"/>
      <c r="I56" s="13"/>
      <c r="J56" s="13"/>
      <c r="K56" s="13"/>
      <c r="L56" s="19"/>
    </row>
    <row r="57" spans="2:12" x14ac:dyDescent="0.25">
      <c r="B57" s="18"/>
      <c r="C57" s="12">
        <v>6</v>
      </c>
      <c r="D57" s="116" t="s">
        <v>150</v>
      </c>
      <c r="E57" s="117"/>
      <c r="F57" s="12" t="str">
        <f>IF(IFERROR(VLOOKUP("Work Permits &amp; Visas",$C$18:$D$27,1,FALSE),"Not Required")="Not Required","Not Required","Required")</f>
        <v>Not Required</v>
      </c>
      <c r="G57" s="13"/>
      <c r="H57" s="13"/>
      <c r="I57" s="13"/>
      <c r="J57" s="13"/>
      <c r="K57" s="13"/>
      <c r="L57" s="19"/>
    </row>
    <row r="58" spans="2:12" x14ac:dyDescent="0.25">
      <c r="B58" s="18"/>
      <c r="C58" s="12">
        <v>7</v>
      </c>
      <c r="D58" s="116" t="s">
        <v>154</v>
      </c>
      <c r="E58" s="117"/>
      <c r="F58" s="12" t="str">
        <f>IF(IFERROR(VLOOKUP("Other",$C$18:$D$27,1,FALSE),"Not Required")="Not Required","Not Required","Required")</f>
        <v>Not Required</v>
      </c>
      <c r="G58" s="13"/>
      <c r="H58" s="13"/>
      <c r="I58" s="13"/>
      <c r="J58" s="13"/>
      <c r="K58" s="13"/>
      <c r="L58" s="19"/>
    </row>
    <row r="59" spans="2:12" ht="12" customHeight="1" x14ac:dyDescent="0.25">
      <c r="B59" s="18"/>
      <c r="C59" s="13"/>
      <c r="D59" s="13"/>
      <c r="E59" s="13"/>
      <c r="F59" s="13"/>
      <c r="G59" s="13"/>
      <c r="H59" s="13"/>
      <c r="I59" s="13"/>
      <c r="J59" s="13"/>
      <c r="K59" s="13"/>
      <c r="L59" s="19"/>
    </row>
    <row r="60" spans="2:12" ht="6" customHeight="1" x14ac:dyDescent="0.25">
      <c r="B60" s="18"/>
      <c r="C60" s="13"/>
      <c r="D60" s="265"/>
      <c r="E60" s="265"/>
      <c r="F60" s="265"/>
      <c r="G60" s="265"/>
      <c r="H60" s="265"/>
      <c r="I60" s="265"/>
      <c r="J60" s="265"/>
      <c r="K60" s="265"/>
      <c r="L60" s="19"/>
    </row>
    <row r="61" spans="2:12" ht="9" customHeight="1" x14ac:dyDescent="0.25">
      <c r="B61" s="18"/>
      <c r="C61" s="13"/>
      <c r="D61" s="236"/>
      <c r="E61" s="236"/>
      <c r="F61" s="236"/>
      <c r="G61" s="236"/>
      <c r="H61" s="236"/>
      <c r="I61" s="236"/>
      <c r="J61" s="236"/>
      <c r="K61" s="236"/>
      <c r="L61" s="19"/>
    </row>
    <row r="62" spans="2:12" ht="9" customHeight="1" thickBot="1" x14ac:dyDescent="0.3">
      <c r="B62" s="28"/>
      <c r="C62" s="46" t="s">
        <v>23</v>
      </c>
      <c r="D62" s="45"/>
      <c r="E62" s="45"/>
      <c r="F62" s="45"/>
      <c r="G62" s="45"/>
      <c r="H62" s="44"/>
      <c r="I62" s="44"/>
      <c r="J62" s="44"/>
      <c r="K62" s="44"/>
      <c r="L62" s="30"/>
    </row>
  </sheetData>
  <sheetProtection algorithmName="SHA-512" hashValue="RNjxcwnQWbP5PaeYLaQwTIkHDXKsHS+bMwVZOEGCOudfvYjNRQ0fQJv1+1aGhc8+EsrPDrvSyY3zUeGohlF3rQ==" saltValue="bbVGaBQH34vhTPRKko6StA==" spinCount="100000" sheet="1" scenarios="1" selectLockedCells="1"/>
  <mergeCells count="56">
    <mergeCell ref="C25:D25"/>
    <mergeCell ref="F25:G25"/>
    <mergeCell ref="C18:D18"/>
    <mergeCell ref="F18:G18"/>
    <mergeCell ref="J18:K27"/>
    <mergeCell ref="C20:D20"/>
    <mergeCell ref="F20:G20"/>
    <mergeCell ref="C21:D21"/>
    <mergeCell ref="F21:G21"/>
    <mergeCell ref="C22:D22"/>
    <mergeCell ref="F22:G22"/>
    <mergeCell ref="C23:D23"/>
    <mergeCell ref="F23:G23"/>
    <mergeCell ref="C24:D24"/>
    <mergeCell ref="F24:G24"/>
    <mergeCell ref="C26:D26"/>
    <mergeCell ref="C15:K15"/>
    <mergeCell ref="C17:D17"/>
    <mergeCell ref="F17:G17"/>
    <mergeCell ref="J17:K17"/>
    <mergeCell ref="C19:D19"/>
    <mergeCell ref="F19:G19"/>
    <mergeCell ref="C3:J3"/>
    <mergeCell ref="K2:L3"/>
    <mergeCell ref="C9:D9"/>
    <mergeCell ref="E9:F9"/>
    <mergeCell ref="C12:K14"/>
    <mergeCell ref="C7:D7"/>
    <mergeCell ref="E7:F7"/>
    <mergeCell ref="I7:J7"/>
    <mergeCell ref="C8:D8"/>
    <mergeCell ref="E8:F8"/>
    <mergeCell ref="I8:J8"/>
    <mergeCell ref="F26:G26"/>
    <mergeCell ref="C27:D27"/>
    <mergeCell ref="F27:G27"/>
    <mergeCell ref="H29:I29"/>
    <mergeCell ref="D60:K60"/>
    <mergeCell ref="D30:G30"/>
    <mergeCell ref="H30:I30"/>
    <mergeCell ref="C38:D38"/>
    <mergeCell ref="D39:K39"/>
    <mergeCell ref="C32:D32"/>
    <mergeCell ref="D33:E33"/>
    <mergeCell ref="D34:E34"/>
    <mergeCell ref="D35:E35"/>
    <mergeCell ref="D61:K61"/>
    <mergeCell ref="D36:E36"/>
    <mergeCell ref="F33:H33"/>
    <mergeCell ref="D52:E52"/>
    <mergeCell ref="D53:E53"/>
    <mergeCell ref="D54:E54"/>
    <mergeCell ref="F34:H34"/>
    <mergeCell ref="F35:H35"/>
    <mergeCell ref="F36:H36"/>
    <mergeCell ref="I49:K49"/>
  </mergeCells>
  <dataValidations count="1">
    <dataValidation type="list" allowBlank="1" showInputMessage="1" showErrorMessage="1" sqref="H30:H32 F18:F27">
      <formula1>CURRENCY</formula1>
    </dataValidation>
  </dataValidations>
  <pageMargins left="0.7" right="0.7" top="0.75" bottom="0.75" header="0.3" footer="0.3"/>
  <pageSetup scale="75" fitToHeight="3" orientation="portrait" r:id="rId1"/>
  <headerFooter>
    <oddFooter>&amp;LRESTRICTED</oddFooter>
    <evenFooter>&amp;LRESTRICTED</evenFooter>
    <firstFooter>&amp;LRESTRICTED</first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References!$H$1:$H$51</xm:f>
          </x14:formula1>
          <xm:sqref>I18</xm:sqref>
        </x14:dataValidation>
        <x14:dataValidation type="list" allowBlank="1" showInputMessage="1" showErrorMessage="1">
          <x14:formula1>
            <xm:f>References!$P$1:$P$3</xm:f>
          </x14:formula1>
          <xm:sqref>E9:F9</xm:sqref>
        </x14:dataValidation>
        <x14:dataValidation type="list" allowBlank="1" showInputMessage="1" showErrorMessage="1">
          <x14:formula1>
            <xm:f>References!$N$1:$N$8</xm:f>
          </x14:formula1>
          <xm:sqref>C18:D27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66"/>
  <sheetViews>
    <sheetView workbookViewId="0">
      <selection activeCell="D7" sqref="D7"/>
    </sheetView>
  </sheetViews>
  <sheetFormatPr defaultRowHeight="15" x14ac:dyDescent="0.25"/>
  <cols>
    <col min="1" max="1" width="9.42578125" bestFit="1" customWidth="1"/>
    <col min="2" max="2" width="26.140625" bestFit="1" customWidth="1"/>
    <col min="3" max="3" width="24" bestFit="1" customWidth="1"/>
    <col min="4" max="4" width="25.85546875" bestFit="1" customWidth="1"/>
    <col min="6" max="6" width="10.85546875" bestFit="1" customWidth="1"/>
    <col min="7" max="7" width="16.28515625" bestFit="1" customWidth="1"/>
    <col min="9" max="9" width="23.140625" bestFit="1" customWidth="1"/>
  </cols>
  <sheetData>
    <row r="1" spans="1:16" x14ac:dyDescent="0.25">
      <c r="A1" s="54"/>
      <c r="B1" s="54"/>
      <c r="C1" s="54"/>
      <c r="D1" s="54"/>
      <c r="E1" s="54"/>
      <c r="F1" s="54"/>
      <c r="G1" s="54"/>
      <c r="H1" s="54"/>
      <c r="I1" s="54"/>
      <c r="J1" s="54"/>
      <c r="K1" s="54"/>
      <c r="L1" s="54"/>
      <c r="M1" s="54"/>
    </row>
    <row r="2" spans="1:16" x14ac:dyDescent="0.25">
      <c r="A2" s="54" t="s">
        <v>64</v>
      </c>
      <c r="B2" s="54" t="s">
        <v>3</v>
      </c>
      <c r="C2" s="55" t="s">
        <v>15</v>
      </c>
      <c r="D2" s="54" t="s">
        <v>58</v>
      </c>
      <c r="E2" s="54"/>
      <c r="F2" s="54" t="s">
        <v>3</v>
      </c>
      <c r="G2" s="55" t="s">
        <v>76</v>
      </c>
      <c r="H2" s="54">
        <v>1</v>
      </c>
      <c r="I2" s="55" t="s">
        <v>85</v>
      </c>
      <c r="J2" s="54" t="s">
        <v>62</v>
      </c>
      <c r="K2" s="56" t="s">
        <v>101</v>
      </c>
      <c r="L2" s="54" t="s">
        <v>120</v>
      </c>
      <c r="M2" s="54" t="s">
        <v>3</v>
      </c>
      <c r="N2" s="74" t="s">
        <v>123</v>
      </c>
      <c r="O2" s="54" t="s">
        <v>104</v>
      </c>
      <c r="P2" s="74" t="s">
        <v>140</v>
      </c>
    </row>
    <row r="3" spans="1:16" x14ac:dyDescent="0.25">
      <c r="A3" s="54" t="s">
        <v>24</v>
      </c>
      <c r="B3" s="54" t="s">
        <v>57</v>
      </c>
      <c r="C3" s="55" t="s">
        <v>16</v>
      </c>
      <c r="D3" s="54" t="s">
        <v>39</v>
      </c>
      <c r="E3" s="54"/>
      <c r="F3" s="54" t="s">
        <v>57</v>
      </c>
      <c r="G3" s="55" t="s">
        <v>73</v>
      </c>
      <c r="H3" s="54">
        <v>2</v>
      </c>
      <c r="I3" s="55" t="s">
        <v>17</v>
      </c>
      <c r="J3" s="54" t="s">
        <v>87</v>
      </c>
      <c r="K3" s="56" t="s">
        <v>119</v>
      </c>
      <c r="L3" s="54" t="s">
        <v>104</v>
      </c>
      <c r="M3" s="54" t="s">
        <v>37</v>
      </c>
      <c r="N3" s="74" t="s">
        <v>182</v>
      </c>
      <c r="O3" s="55" t="s">
        <v>75</v>
      </c>
      <c r="P3" s="74" t="s">
        <v>141</v>
      </c>
    </row>
    <row r="4" spans="1:16" x14ac:dyDescent="0.25">
      <c r="A4" s="54"/>
      <c r="B4" s="54" t="s">
        <v>37</v>
      </c>
      <c r="C4" s="55" t="s">
        <v>17</v>
      </c>
      <c r="D4" s="54" t="s">
        <v>196</v>
      </c>
      <c r="E4" s="54"/>
      <c r="F4" s="54"/>
      <c r="G4" s="55" t="s">
        <v>75</v>
      </c>
      <c r="H4" s="54">
        <v>3</v>
      </c>
      <c r="I4" s="54"/>
      <c r="J4" s="55" t="s">
        <v>75</v>
      </c>
      <c r="K4" s="54" t="s">
        <v>102</v>
      </c>
      <c r="L4" s="54" t="s">
        <v>105</v>
      </c>
      <c r="M4" s="54" t="s">
        <v>137</v>
      </c>
      <c r="N4" s="74" t="s">
        <v>125</v>
      </c>
      <c r="O4" s="54" t="s">
        <v>177</v>
      </c>
    </row>
    <row r="5" spans="1:16" x14ac:dyDescent="0.25">
      <c r="A5" s="54"/>
      <c r="B5" s="54" t="s">
        <v>137</v>
      </c>
      <c r="C5" s="54"/>
      <c r="D5" s="54" t="s">
        <v>48</v>
      </c>
      <c r="E5" s="54"/>
      <c r="F5" s="54"/>
      <c r="G5" s="55" t="s">
        <v>5</v>
      </c>
      <c r="H5" s="54">
        <v>4</v>
      </c>
      <c r="I5" s="54"/>
      <c r="J5" s="57" t="s">
        <v>28</v>
      </c>
      <c r="K5" s="54" t="s">
        <v>103</v>
      </c>
      <c r="L5" s="54"/>
      <c r="M5" s="54"/>
      <c r="N5" s="74" t="s">
        <v>126</v>
      </c>
      <c r="O5" s="74" t="s">
        <v>123</v>
      </c>
    </row>
    <row r="6" spans="1:16" x14ac:dyDescent="0.25">
      <c r="A6" s="54"/>
      <c r="B6" s="54"/>
      <c r="C6" s="54"/>
      <c r="D6" s="54" t="s">
        <v>44</v>
      </c>
      <c r="E6" s="54"/>
      <c r="F6" s="54"/>
      <c r="G6" s="55" t="s">
        <v>7</v>
      </c>
      <c r="H6" s="54">
        <v>5</v>
      </c>
      <c r="I6" s="54"/>
      <c r="J6" s="54"/>
      <c r="K6" s="54"/>
      <c r="L6" s="54"/>
      <c r="N6" s="74" t="s">
        <v>133</v>
      </c>
      <c r="O6" s="74" t="s">
        <v>182</v>
      </c>
    </row>
    <row r="7" spans="1:16" x14ac:dyDescent="0.25">
      <c r="A7" s="54"/>
      <c r="B7" s="54"/>
      <c r="C7" s="54"/>
      <c r="D7" s="54" t="s">
        <v>40</v>
      </c>
      <c r="E7" s="54"/>
      <c r="F7" s="54"/>
      <c r="G7" s="57" t="s">
        <v>28</v>
      </c>
      <c r="H7" s="54">
        <v>6</v>
      </c>
      <c r="I7" s="54"/>
      <c r="J7" s="54"/>
      <c r="K7" s="54"/>
      <c r="L7" s="54"/>
      <c r="M7" s="54"/>
      <c r="N7" s="74" t="s">
        <v>127</v>
      </c>
      <c r="O7" s="57" t="s">
        <v>28</v>
      </c>
    </row>
    <row r="8" spans="1:16" x14ac:dyDescent="0.25">
      <c r="A8" s="54"/>
      <c r="B8" s="54"/>
      <c r="C8" s="54"/>
      <c r="D8" s="54" t="s">
        <v>51</v>
      </c>
      <c r="E8" s="54"/>
      <c r="F8" s="54"/>
      <c r="H8" s="54">
        <v>7</v>
      </c>
      <c r="I8" s="54"/>
      <c r="J8" s="54"/>
      <c r="K8" s="54"/>
      <c r="L8" s="54"/>
      <c r="M8" s="54"/>
      <c r="N8" s="74" t="s">
        <v>38</v>
      </c>
      <c r="P8" s="54"/>
    </row>
    <row r="9" spans="1:16" x14ac:dyDescent="0.25">
      <c r="A9" s="54"/>
      <c r="B9" s="54"/>
      <c r="C9" s="54"/>
      <c r="D9" s="54" t="s">
        <v>47</v>
      </c>
      <c r="E9" s="54"/>
      <c r="F9" s="54"/>
      <c r="H9" s="54">
        <v>8</v>
      </c>
      <c r="I9" s="54"/>
      <c r="J9" s="54"/>
      <c r="K9" s="54"/>
      <c r="L9" s="54"/>
      <c r="M9" s="54"/>
    </row>
    <row r="10" spans="1:16" x14ac:dyDescent="0.25">
      <c r="A10" s="54"/>
      <c r="B10" s="54"/>
      <c r="C10" s="54"/>
      <c r="D10" s="54" t="s">
        <v>41</v>
      </c>
      <c r="E10" s="54"/>
      <c r="F10" s="54"/>
      <c r="G10" s="54"/>
      <c r="H10" s="54">
        <v>9</v>
      </c>
      <c r="I10" s="54"/>
      <c r="J10" s="54"/>
      <c r="K10" s="54"/>
      <c r="L10" s="54"/>
      <c r="M10" s="54"/>
    </row>
    <row r="11" spans="1:16" x14ac:dyDescent="0.25">
      <c r="A11" s="54"/>
      <c r="B11" s="54"/>
      <c r="C11" s="54"/>
      <c r="D11" s="54" t="s">
        <v>45</v>
      </c>
      <c r="E11" s="54"/>
      <c r="F11" s="54"/>
      <c r="G11" s="54"/>
      <c r="H11" s="54">
        <v>10</v>
      </c>
      <c r="I11" s="54"/>
      <c r="J11" s="54"/>
      <c r="K11" s="54"/>
      <c r="L11" s="54"/>
      <c r="M11" s="54"/>
    </row>
    <row r="12" spans="1:16" x14ac:dyDescent="0.25">
      <c r="A12" s="54"/>
      <c r="B12" s="54"/>
      <c r="C12" s="54"/>
      <c r="D12" s="54" t="s">
        <v>53</v>
      </c>
      <c r="E12" s="54"/>
      <c r="F12" s="54"/>
      <c r="G12" s="54"/>
      <c r="H12" s="54">
        <v>11</v>
      </c>
      <c r="I12" s="54"/>
      <c r="J12" s="54"/>
      <c r="K12" s="54"/>
      <c r="L12" s="54"/>
      <c r="M12" s="54"/>
    </row>
    <row r="13" spans="1:16" x14ac:dyDescent="0.25">
      <c r="A13" s="54"/>
      <c r="B13" s="54"/>
      <c r="C13" s="54"/>
      <c r="D13" s="54" t="s">
        <v>50</v>
      </c>
      <c r="E13" s="54"/>
      <c r="F13" s="54"/>
      <c r="G13" s="54"/>
      <c r="H13" s="54">
        <v>12</v>
      </c>
      <c r="I13" s="54"/>
      <c r="J13" s="54"/>
      <c r="K13" s="54"/>
      <c r="L13" s="54"/>
      <c r="M13" s="54"/>
    </row>
    <row r="14" spans="1:16" x14ac:dyDescent="0.25">
      <c r="A14" s="54"/>
      <c r="C14" s="54"/>
      <c r="D14" s="54" t="s">
        <v>46</v>
      </c>
      <c r="E14" s="54"/>
      <c r="F14" s="54"/>
      <c r="G14" s="54"/>
      <c r="H14" s="54">
        <v>13</v>
      </c>
      <c r="I14" s="54"/>
      <c r="J14" s="54"/>
      <c r="K14" s="54"/>
      <c r="L14" s="54"/>
      <c r="M14" s="54"/>
    </row>
    <row r="15" spans="1:16" x14ac:dyDescent="0.25">
      <c r="A15" s="54"/>
      <c r="C15" s="54"/>
      <c r="D15" s="54" t="s">
        <v>42</v>
      </c>
      <c r="E15" s="54"/>
      <c r="F15" s="54"/>
      <c r="G15" s="54"/>
      <c r="H15" s="54">
        <v>14</v>
      </c>
      <c r="I15" s="54"/>
      <c r="J15" s="54"/>
      <c r="K15" s="54"/>
      <c r="L15" s="54"/>
      <c r="M15" s="54"/>
    </row>
    <row r="16" spans="1:16" x14ac:dyDescent="0.25">
      <c r="A16" s="54"/>
      <c r="B16" s="54"/>
      <c r="C16" s="54"/>
      <c r="D16" s="54" t="s">
        <v>56</v>
      </c>
      <c r="E16" s="54"/>
      <c r="F16" s="54"/>
      <c r="G16" s="54"/>
      <c r="H16" s="54">
        <v>15</v>
      </c>
      <c r="I16" s="54"/>
      <c r="J16" s="54"/>
      <c r="K16" s="54"/>
      <c r="L16" s="54"/>
      <c r="M16" s="54"/>
    </row>
    <row r="17" spans="1:13" x14ac:dyDescent="0.25">
      <c r="A17" s="54"/>
      <c r="C17" s="54"/>
      <c r="D17" s="54" t="s">
        <v>43</v>
      </c>
      <c r="E17" s="54"/>
      <c r="F17" s="54"/>
      <c r="G17" s="54"/>
      <c r="H17" s="54">
        <v>16</v>
      </c>
      <c r="I17" s="54"/>
      <c r="J17" s="54"/>
      <c r="K17" s="54"/>
      <c r="L17" s="54"/>
      <c r="M17" s="54"/>
    </row>
    <row r="18" spans="1:13" x14ac:dyDescent="0.25">
      <c r="A18" s="54"/>
      <c r="C18" s="54"/>
      <c r="D18" s="54" t="s">
        <v>54</v>
      </c>
      <c r="E18" s="54"/>
      <c r="F18" s="54"/>
      <c r="G18" s="54"/>
      <c r="H18" s="54">
        <v>17</v>
      </c>
      <c r="I18" s="54"/>
      <c r="J18" s="54"/>
      <c r="K18" s="54"/>
      <c r="L18" s="54"/>
      <c r="M18" s="54"/>
    </row>
    <row r="19" spans="1:13" x14ac:dyDescent="0.25">
      <c r="A19" s="54"/>
      <c r="C19" s="54"/>
      <c r="D19" s="54" t="s">
        <v>55</v>
      </c>
      <c r="E19" s="54"/>
      <c r="F19" s="54"/>
      <c r="G19" s="54"/>
      <c r="H19" s="54">
        <v>18</v>
      </c>
      <c r="I19" s="54"/>
      <c r="J19" s="54"/>
      <c r="K19" s="54"/>
      <c r="L19" s="54"/>
      <c r="M19" s="54"/>
    </row>
    <row r="20" spans="1:13" x14ac:dyDescent="0.25">
      <c r="A20" s="54"/>
      <c r="B20" s="54"/>
      <c r="C20" s="54"/>
      <c r="D20" s="54" t="s">
        <v>52</v>
      </c>
      <c r="E20" s="54"/>
      <c r="F20" s="54"/>
      <c r="G20" s="54"/>
      <c r="H20" s="54">
        <v>19</v>
      </c>
      <c r="I20" s="54"/>
      <c r="J20" s="54"/>
      <c r="K20" s="54"/>
      <c r="L20" s="54"/>
      <c r="M20" s="54"/>
    </row>
    <row r="21" spans="1:13" x14ac:dyDescent="0.25">
      <c r="A21" s="54"/>
      <c r="B21" s="54"/>
      <c r="C21" s="54"/>
      <c r="D21" s="54" t="s">
        <v>49</v>
      </c>
      <c r="E21" s="54"/>
      <c r="F21" s="54"/>
      <c r="G21" s="54"/>
      <c r="H21" s="54">
        <v>20</v>
      </c>
      <c r="I21" s="54"/>
      <c r="J21" s="54"/>
      <c r="K21" s="54"/>
      <c r="M21" s="54"/>
    </row>
    <row r="22" spans="1:13" x14ac:dyDescent="0.25">
      <c r="A22" s="54"/>
      <c r="B22" s="54"/>
      <c r="C22" s="54"/>
      <c r="D22" s="54" t="s">
        <v>122</v>
      </c>
      <c r="E22" s="54"/>
      <c r="F22" s="54"/>
      <c r="G22" s="54"/>
      <c r="H22" s="54">
        <v>21</v>
      </c>
      <c r="I22" s="54"/>
      <c r="J22" s="54"/>
      <c r="K22" s="54"/>
      <c r="M22" s="54"/>
    </row>
    <row r="23" spans="1:13" x14ac:dyDescent="0.25">
      <c r="A23" s="54"/>
      <c r="B23" s="54"/>
      <c r="C23" s="54"/>
      <c r="E23" s="54"/>
      <c r="F23" s="54"/>
      <c r="G23" s="54"/>
      <c r="H23" s="54">
        <v>22</v>
      </c>
      <c r="I23" s="54"/>
      <c r="J23" s="54"/>
      <c r="K23" s="54"/>
      <c r="M23" s="54"/>
    </row>
    <row r="24" spans="1:13" x14ac:dyDescent="0.25">
      <c r="A24" s="54"/>
      <c r="C24" s="54"/>
      <c r="D24" s="54"/>
      <c r="E24" s="54"/>
      <c r="F24" s="54"/>
      <c r="G24" s="54"/>
      <c r="H24" s="54">
        <v>23</v>
      </c>
      <c r="I24" s="54"/>
      <c r="J24" s="54"/>
      <c r="K24" s="54"/>
      <c r="M24" s="54"/>
    </row>
    <row r="25" spans="1:13" x14ac:dyDescent="0.25">
      <c r="A25" s="54"/>
      <c r="C25" s="54"/>
      <c r="D25" s="54"/>
      <c r="E25" s="54"/>
      <c r="F25" s="54"/>
      <c r="G25" s="54"/>
      <c r="H25" s="54">
        <v>24</v>
      </c>
      <c r="I25" s="54"/>
      <c r="J25" s="54"/>
      <c r="K25" s="54"/>
      <c r="M25" s="54"/>
    </row>
    <row r="26" spans="1:13" x14ac:dyDescent="0.25">
      <c r="A26" s="54"/>
      <c r="C26" s="54"/>
      <c r="D26" s="54"/>
      <c r="E26" s="54"/>
      <c r="F26" s="54"/>
      <c r="G26" s="54"/>
      <c r="H26" s="54">
        <v>25</v>
      </c>
      <c r="I26" s="54"/>
      <c r="J26" s="54"/>
      <c r="K26" s="54"/>
      <c r="M26" s="54"/>
    </row>
    <row r="27" spans="1:13" x14ac:dyDescent="0.25">
      <c r="A27" s="54"/>
      <c r="C27" s="54"/>
      <c r="D27" s="54"/>
      <c r="E27" s="54"/>
      <c r="F27" s="54"/>
      <c r="G27" s="54"/>
      <c r="H27" s="54">
        <v>26</v>
      </c>
      <c r="I27" s="54"/>
      <c r="J27" s="54"/>
      <c r="K27" s="54"/>
      <c r="M27" s="54"/>
    </row>
    <row r="28" spans="1:13" x14ac:dyDescent="0.25">
      <c r="A28" s="54"/>
      <c r="C28" s="54"/>
      <c r="D28" s="54"/>
      <c r="E28" s="54"/>
      <c r="F28" s="54"/>
      <c r="G28" s="54"/>
      <c r="H28" s="54">
        <v>27</v>
      </c>
      <c r="I28" s="54"/>
      <c r="J28" s="54"/>
      <c r="K28" s="54"/>
      <c r="M28" s="54"/>
    </row>
    <row r="29" spans="1:13" x14ac:dyDescent="0.25">
      <c r="A29" s="54"/>
      <c r="B29" s="54"/>
      <c r="C29" s="54"/>
      <c r="D29" s="54"/>
      <c r="E29" s="54"/>
      <c r="F29" s="54"/>
      <c r="G29" s="54"/>
      <c r="H29" s="54">
        <v>28</v>
      </c>
      <c r="I29" s="54"/>
      <c r="J29" s="54"/>
      <c r="K29" s="54"/>
      <c r="L29" s="54"/>
      <c r="M29" s="54"/>
    </row>
    <row r="30" spans="1:13" x14ac:dyDescent="0.25">
      <c r="A30" s="54"/>
      <c r="C30" s="54"/>
      <c r="D30" s="54"/>
      <c r="E30" s="54"/>
      <c r="F30" s="54"/>
      <c r="G30" s="54"/>
      <c r="H30" s="54">
        <v>29</v>
      </c>
      <c r="I30" s="54"/>
      <c r="J30" s="54"/>
      <c r="K30" s="54"/>
      <c r="L30" s="54"/>
      <c r="M30" s="54"/>
    </row>
    <row r="31" spans="1:13" x14ac:dyDescent="0.25">
      <c r="A31" s="54"/>
      <c r="C31" s="54"/>
      <c r="D31" s="54"/>
      <c r="E31" s="54"/>
      <c r="F31" s="54"/>
      <c r="G31" s="54"/>
      <c r="H31" s="54">
        <v>30</v>
      </c>
      <c r="I31" s="54"/>
      <c r="J31" s="54"/>
      <c r="K31" s="54"/>
      <c r="L31" s="54"/>
      <c r="M31" s="54"/>
    </row>
    <row r="32" spans="1:13" x14ac:dyDescent="0.25">
      <c r="A32" s="54"/>
      <c r="C32" s="54"/>
      <c r="D32" s="54"/>
      <c r="E32" s="54"/>
      <c r="F32" s="54"/>
      <c r="G32" s="54"/>
      <c r="H32" s="54">
        <v>31</v>
      </c>
      <c r="I32" s="54"/>
      <c r="J32" s="54"/>
      <c r="K32" s="54"/>
      <c r="L32" s="54"/>
      <c r="M32" s="54"/>
    </row>
    <row r="33" spans="1:13" x14ac:dyDescent="0.25">
      <c r="A33" s="54"/>
      <c r="C33" s="54"/>
      <c r="D33" s="54"/>
      <c r="E33" s="54"/>
      <c r="F33" s="54"/>
      <c r="G33" s="54"/>
      <c r="H33" s="54">
        <v>32</v>
      </c>
      <c r="I33" s="54"/>
      <c r="J33" s="54"/>
      <c r="K33" s="54"/>
      <c r="L33" s="54"/>
      <c r="M33" s="54"/>
    </row>
    <row r="34" spans="1:13" x14ac:dyDescent="0.25">
      <c r="A34" s="54"/>
      <c r="B34" s="54"/>
      <c r="C34" s="54"/>
      <c r="D34" s="54"/>
      <c r="E34" s="54"/>
      <c r="F34" s="54"/>
      <c r="G34" s="54"/>
      <c r="H34" s="54">
        <v>33</v>
      </c>
      <c r="I34" s="54"/>
      <c r="J34" s="54"/>
      <c r="K34" s="54"/>
      <c r="L34" s="54"/>
      <c r="M34" s="54"/>
    </row>
    <row r="35" spans="1:13" x14ac:dyDescent="0.25">
      <c r="A35" s="54"/>
      <c r="C35" s="54"/>
      <c r="D35" s="54"/>
      <c r="E35" s="54"/>
      <c r="F35" s="54"/>
      <c r="G35" s="54"/>
      <c r="H35" s="54">
        <v>34</v>
      </c>
      <c r="I35" s="54"/>
      <c r="J35" s="54"/>
      <c r="K35" s="54"/>
      <c r="L35" s="54"/>
      <c r="M35" s="54"/>
    </row>
    <row r="36" spans="1:13" x14ac:dyDescent="0.25">
      <c r="A36" s="54"/>
      <c r="B36" s="54"/>
      <c r="C36" s="54"/>
      <c r="D36" s="54"/>
      <c r="E36" s="54"/>
      <c r="F36" s="54"/>
      <c r="G36" s="54"/>
      <c r="H36" s="54">
        <v>35</v>
      </c>
      <c r="I36" s="54"/>
      <c r="J36" s="54"/>
      <c r="K36" s="54"/>
      <c r="L36" s="54"/>
      <c r="M36" s="54"/>
    </row>
    <row r="37" spans="1:13" x14ac:dyDescent="0.25">
      <c r="A37" s="54"/>
      <c r="B37" s="54"/>
      <c r="C37" s="54"/>
      <c r="D37" s="54"/>
      <c r="E37" s="54"/>
      <c r="F37" s="54"/>
      <c r="G37" s="54"/>
      <c r="H37" s="54">
        <v>36</v>
      </c>
      <c r="I37" s="54"/>
      <c r="J37" s="54"/>
      <c r="K37" s="54"/>
      <c r="L37" s="54"/>
      <c r="M37" s="54"/>
    </row>
    <row r="38" spans="1:13" x14ac:dyDescent="0.25">
      <c r="A38" s="54"/>
      <c r="B38" s="54"/>
      <c r="C38" s="54"/>
      <c r="D38" s="54"/>
      <c r="E38" s="54"/>
      <c r="F38" s="54"/>
      <c r="G38" s="54"/>
      <c r="H38" s="54">
        <v>37</v>
      </c>
      <c r="I38" s="54"/>
      <c r="J38" s="54"/>
      <c r="K38" s="54"/>
      <c r="L38" s="54"/>
      <c r="M38" s="54"/>
    </row>
    <row r="39" spans="1:13" x14ac:dyDescent="0.25">
      <c r="A39" s="54"/>
      <c r="C39" s="54"/>
      <c r="D39" s="54"/>
      <c r="E39" s="54"/>
      <c r="F39" s="54"/>
      <c r="G39" s="54"/>
      <c r="H39" s="54">
        <v>38</v>
      </c>
      <c r="I39" s="54"/>
      <c r="J39" s="54"/>
      <c r="K39" s="54"/>
      <c r="L39" s="54"/>
      <c r="M39" s="54"/>
    </row>
    <row r="40" spans="1:13" x14ac:dyDescent="0.25">
      <c r="A40" s="54"/>
      <c r="B40" s="54"/>
      <c r="C40" s="54"/>
      <c r="D40" s="54"/>
      <c r="E40" s="54"/>
      <c r="F40" s="54"/>
      <c r="G40" s="54"/>
      <c r="H40" s="54">
        <v>39</v>
      </c>
      <c r="I40" s="54"/>
      <c r="J40" s="54"/>
      <c r="K40" s="54"/>
      <c r="L40" s="54"/>
      <c r="M40" s="54"/>
    </row>
    <row r="41" spans="1:13" x14ac:dyDescent="0.25">
      <c r="A41" s="54"/>
      <c r="B41" s="54"/>
      <c r="C41" s="54"/>
      <c r="D41" s="54"/>
      <c r="E41" s="54"/>
      <c r="F41" s="54"/>
      <c r="G41" s="54"/>
      <c r="H41" s="54">
        <v>40</v>
      </c>
      <c r="I41" s="54"/>
      <c r="J41" s="54"/>
      <c r="K41" s="54"/>
      <c r="L41" s="54"/>
      <c r="M41" s="54"/>
    </row>
    <row r="42" spans="1:13" x14ac:dyDescent="0.25">
      <c r="A42" s="54"/>
      <c r="B42" s="54"/>
      <c r="C42" s="54"/>
      <c r="D42" s="54"/>
      <c r="E42" s="54"/>
      <c r="F42" s="54"/>
      <c r="G42" s="54"/>
      <c r="H42" s="54">
        <v>41</v>
      </c>
      <c r="I42" s="54"/>
      <c r="J42" s="54"/>
      <c r="K42" s="54"/>
      <c r="L42" s="54"/>
      <c r="M42" s="54"/>
    </row>
    <row r="43" spans="1:13" x14ac:dyDescent="0.25">
      <c r="A43" s="54"/>
      <c r="B43" s="54"/>
      <c r="C43" s="54"/>
      <c r="D43" s="54"/>
      <c r="E43" s="54"/>
      <c r="F43" s="54"/>
      <c r="G43" s="54"/>
      <c r="H43" s="54">
        <v>42</v>
      </c>
      <c r="I43" s="54"/>
      <c r="J43" s="54"/>
      <c r="K43" s="54"/>
      <c r="L43" s="54"/>
      <c r="M43" s="54"/>
    </row>
    <row r="44" spans="1:13" x14ac:dyDescent="0.25">
      <c r="A44" s="54"/>
      <c r="B44" s="54"/>
      <c r="C44" s="54"/>
      <c r="D44" s="54"/>
      <c r="E44" s="54"/>
      <c r="F44" s="54"/>
      <c r="G44" s="54"/>
      <c r="H44" s="54">
        <v>43</v>
      </c>
      <c r="I44" s="54"/>
      <c r="J44" s="54"/>
      <c r="K44" s="54"/>
      <c r="L44" s="54"/>
      <c r="M44" s="54"/>
    </row>
    <row r="45" spans="1:13" x14ac:dyDescent="0.25">
      <c r="A45" s="54"/>
      <c r="B45" s="54"/>
      <c r="C45" s="54"/>
      <c r="D45" s="54"/>
      <c r="E45" s="54"/>
      <c r="F45" s="54"/>
      <c r="G45" s="54"/>
      <c r="H45" s="54">
        <v>44</v>
      </c>
      <c r="I45" s="54"/>
      <c r="J45" s="54"/>
      <c r="K45" s="54"/>
      <c r="L45" s="54"/>
      <c r="M45" s="54"/>
    </row>
    <row r="46" spans="1:13" x14ac:dyDescent="0.25">
      <c r="A46" s="54"/>
      <c r="B46" s="54"/>
      <c r="C46" s="54"/>
      <c r="D46" s="54"/>
      <c r="E46" s="54"/>
      <c r="F46" s="54"/>
      <c r="G46" s="54"/>
      <c r="H46" s="54">
        <v>45</v>
      </c>
      <c r="I46" s="54"/>
      <c r="J46" s="54"/>
      <c r="K46" s="54"/>
      <c r="L46" s="54"/>
      <c r="M46" s="54"/>
    </row>
    <row r="47" spans="1:13" x14ac:dyDescent="0.25">
      <c r="A47" s="54"/>
      <c r="B47" s="54"/>
      <c r="C47" s="54"/>
      <c r="D47" s="54"/>
      <c r="E47" s="54"/>
      <c r="F47" s="54"/>
      <c r="G47" s="54"/>
      <c r="H47" s="54">
        <v>46</v>
      </c>
      <c r="I47" s="54"/>
      <c r="J47" s="54"/>
      <c r="K47" s="54"/>
      <c r="L47" s="54"/>
      <c r="M47" s="54"/>
    </row>
    <row r="48" spans="1:13" x14ac:dyDescent="0.25">
      <c r="A48" s="54"/>
      <c r="B48" s="54"/>
      <c r="C48" s="54"/>
      <c r="D48" s="54"/>
      <c r="E48" s="54"/>
      <c r="F48" s="54"/>
      <c r="G48" s="54"/>
      <c r="H48" s="54">
        <v>47</v>
      </c>
      <c r="I48" s="54"/>
      <c r="J48" s="54"/>
      <c r="K48" s="54"/>
      <c r="L48" s="54"/>
      <c r="M48" s="54"/>
    </row>
    <row r="49" spans="1:13" x14ac:dyDescent="0.25">
      <c r="A49" s="54"/>
      <c r="B49" s="54"/>
      <c r="C49" s="54"/>
      <c r="D49" s="54"/>
      <c r="E49" s="54"/>
      <c r="F49" s="54"/>
      <c r="G49" s="54"/>
      <c r="H49" s="54">
        <v>48</v>
      </c>
      <c r="I49" s="54"/>
      <c r="J49" s="54"/>
      <c r="K49" s="54"/>
      <c r="L49" s="54"/>
      <c r="M49" s="54"/>
    </row>
    <row r="50" spans="1:13" x14ac:dyDescent="0.25">
      <c r="A50" s="54"/>
      <c r="B50" s="54"/>
      <c r="C50" s="54"/>
      <c r="D50" s="54"/>
      <c r="E50" s="54"/>
      <c r="F50" s="54"/>
      <c r="G50" s="54"/>
      <c r="H50" s="54">
        <v>49</v>
      </c>
      <c r="I50" s="54"/>
      <c r="J50" s="54"/>
      <c r="K50" s="54"/>
      <c r="L50" s="54"/>
      <c r="M50" s="54"/>
    </row>
    <row r="51" spans="1:13" x14ac:dyDescent="0.25">
      <c r="A51" s="54"/>
      <c r="B51" s="54"/>
      <c r="C51" s="54"/>
      <c r="D51" s="54"/>
      <c r="E51" s="54"/>
      <c r="F51" s="54"/>
      <c r="G51" s="54"/>
      <c r="H51" s="54">
        <v>50</v>
      </c>
      <c r="I51" s="54"/>
      <c r="J51" s="54"/>
      <c r="K51" s="54"/>
      <c r="L51" s="54"/>
      <c r="M51" s="54"/>
    </row>
    <row r="52" spans="1:13" x14ac:dyDescent="0.25">
      <c r="A52" s="54"/>
      <c r="B52" s="54"/>
      <c r="C52" s="54"/>
      <c r="D52" s="54"/>
      <c r="E52" s="54"/>
      <c r="F52" s="54"/>
      <c r="G52" s="54"/>
      <c r="H52" s="54"/>
      <c r="I52" s="54"/>
      <c r="J52" s="54"/>
      <c r="K52" s="54"/>
      <c r="L52" s="54"/>
      <c r="M52" s="54"/>
    </row>
    <row r="53" spans="1:13" x14ac:dyDescent="0.25">
      <c r="A53" s="54"/>
      <c r="B53" s="54"/>
      <c r="C53" s="54"/>
      <c r="D53" s="54"/>
      <c r="E53" s="54"/>
      <c r="F53" s="54"/>
      <c r="G53" s="54"/>
      <c r="H53" s="54"/>
      <c r="I53" s="54"/>
      <c r="J53" s="54"/>
      <c r="K53" s="54"/>
      <c r="L53" s="54"/>
      <c r="M53" s="54"/>
    </row>
    <row r="54" spans="1:13" x14ac:dyDescent="0.25">
      <c r="A54" s="54"/>
      <c r="B54" s="54"/>
      <c r="C54" s="54"/>
      <c r="D54" s="54"/>
      <c r="E54" s="54"/>
      <c r="F54" s="54"/>
      <c r="G54" s="54"/>
      <c r="H54" s="54"/>
      <c r="I54" s="54"/>
      <c r="J54" s="54"/>
      <c r="K54" s="54"/>
      <c r="L54" s="54"/>
      <c r="M54" s="54"/>
    </row>
    <row r="55" spans="1:13" x14ac:dyDescent="0.25">
      <c r="A55" s="54"/>
      <c r="B55" s="54"/>
      <c r="C55" s="54"/>
      <c r="D55" s="54"/>
      <c r="E55" s="54"/>
      <c r="F55" s="54"/>
      <c r="G55" s="54"/>
      <c r="H55" s="54"/>
      <c r="I55" s="54"/>
      <c r="J55" s="54"/>
      <c r="K55" s="54"/>
      <c r="L55" s="54"/>
      <c r="M55" s="54"/>
    </row>
    <row r="56" spans="1:13" x14ac:dyDescent="0.25">
      <c r="A56" s="54"/>
      <c r="B56" s="54"/>
      <c r="C56" s="54"/>
      <c r="D56" s="54"/>
      <c r="E56" s="54"/>
      <c r="F56" s="54"/>
      <c r="G56" s="54"/>
      <c r="H56" s="54"/>
      <c r="I56" s="54"/>
      <c r="J56" s="54"/>
      <c r="K56" s="54"/>
      <c r="L56" s="54"/>
      <c r="M56" s="54"/>
    </row>
    <row r="57" spans="1:13" x14ac:dyDescent="0.25">
      <c r="A57" s="54"/>
      <c r="B57" s="54"/>
      <c r="C57" s="54"/>
      <c r="D57" s="54"/>
      <c r="E57" s="54"/>
      <c r="F57" s="54"/>
      <c r="G57" s="54"/>
      <c r="H57" s="54"/>
      <c r="I57" s="54"/>
      <c r="J57" s="54"/>
      <c r="K57" s="54"/>
      <c r="L57" s="54"/>
      <c r="M57" s="54"/>
    </row>
    <row r="58" spans="1:13" x14ac:dyDescent="0.25">
      <c r="A58" s="54"/>
      <c r="B58" s="54"/>
      <c r="C58" s="54"/>
      <c r="D58" s="54"/>
      <c r="E58" s="54"/>
      <c r="F58" s="54"/>
      <c r="G58" s="54"/>
      <c r="H58" s="54"/>
      <c r="I58" s="54"/>
      <c r="J58" s="54"/>
      <c r="K58" s="54"/>
      <c r="L58" s="54"/>
      <c r="M58" s="54"/>
    </row>
    <row r="59" spans="1:13" x14ac:dyDescent="0.25">
      <c r="A59" s="54"/>
      <c r="B59" s="54"/>
      <c r="C59" s="54"/>
      <c r="D59" s="54"/>
      <c r="E59" s="54"/>
      <c r="F59" s="54"/>
      <c r="G59" s="54"/>
      <c r="H59" s="54"/>
      <c r="I59" s="54"/>
      <c r="J59" s="54"/>
      <c r="K59" s="54"/>
      <c r="L59" s="54"/>
      <c r="M59" s="54"/>
    </row>
    <row r="60" spans="1:13" x14ac:dyDescent="0.25">
      <c r="A60" s="54"/>
      <c r="B60" s="54"/>
      <c r="C60" s="54"/>
      <c r="D60" s="54"/>
      <c r="E60" s="54"/>
      <c r="F60" s="54"/>
      <c r="G60" s="54"/>
      <c r="H60" s="54"/>
      <c r="I60" s="54"/>
      <c r="J60" s="54"/>
      <c r="K60" s="54"/>
      <c r="L60" s="54"/>
      <c r="M60" s="54"/>
    </row>
    <row r="61" spans="1:13" x14ac:dyDescent="0.25">
      <c r="A61" s="54"/>
      <c r="B61" s="54"/>
      <c r="C61" s="54"/>
      <c r="D61" s="54"/>
      <c r="E61" s="54"/>
      <c r="F61" s="54"/>
      <c r="G61" s="54"/>
      <c r="H61" s="54"/>
      <c r="I61" s="54"/>
      <c r="J61" s="54"/>
      <c r="K61" s="54"/>
      <c r="L61" s="54"/>
      <c r="M61" s="54"/>
    </row>
    <row r="62" spans="1:13" x14ac:dyDescent="0.25">
      <c r="A62" s="54"/>
      <c r="B62" s="54"/>
      <c r="C62" s="54"/>
      <c r="D62" s="54"/>
      <c r="E62" s="54"/>
      <c r="F62" s="54"/>
      <c r="G62" s="54"/>
      <c r="H62" s="54"/>
      <c r="I62" s="54"/>
      <c r="J62" s="54"/>
      <c r="K62" s="54"/>
      <c r="L62" s="54"/>
      <c r="M62" s="54"/>
    </row>
    <row r="63" spans="1:13" x14ac:dyDescent="0.25">
      <c r="A63" s="54"/>
      <c r="B63" s="54"/>
      <c r="C63" s="54"/>
      <c r="D63" s="54"/>
      <c r="E63" s="54"/>
      <c r="F63" s="54"/>
      <c r="G63" s="54"/>
      <c r="H63" s="54"/>
      <c r="I63" s="54"/>
      <c r="J63" s="54"/>
      <c r="K63" s="54"/>
      <c r="L63" s="54"/>
      <c r="M63" s="54"/>
    </row>
    <row r="64" spans="1:13" x14ac:dyDescent="0.25">
      <c r="A64" s="54"/>
      <c r="B64" s="54"/>
      <c r="C64" s="54"/>
      <c r="D64" s="54"/>
      <c r="E64" s="54"/>
      <c r="F64" s="54"/>
      <c r="G64" s="54"/>
      <c r="H64" s="54"/>
      <c r="I64" s="54"/>
      <c r="J64" s="54"/>
      <c r="K64" s="54"/>
      <c r="L64" s="54"/>
      <c r="M64" s="54"/>
    </row>
    <row r="65" spans="1:13" x14ac:dyDescent="0.25">
      <c r="A65" s="54"/>
      <c r="B65" s="54"/>
      <c r="C65" s="54"/>
      <c r="D65" s="54"/>
      <c r="E65" s="54"/>
      <c r="F65" s="54"/>
      <c r="G65" s="54"/>
      <c r="H65" s="54"/>
      <c r="I65" s="54"/>
      <c r="J65" s="54"/>
      <c r="K65" s="54"/>
      <c r="L65" s="54"/>
      <c r="M65" s="54"/>
    </row>
    <row r="66" spans="1:13" x14ac:dyDescent="0.25">
      <c r="A66" s="54"/>
      <c r="B66" s="54"/>
      <c r="C66" s="54"/>
      <c r="D66" s="54"/>
      <c r="E66" s="54"/>
      <c r="F66" s="54"/>
      <c r="G66" s="54"/>
      <c r="H66" s="54"/>
      <c r="I66" s="54"/>
      <c r="J66" s="54"/>
      <c r="K66" s="54"/>
      <c r="L66" s="54"/>
      <c r="M66" s="54"/>
    </row>
  </sheetData>
  <sortState ref="D2:D27">
    <sortCondition ref="D2"/>
  </sortState>
  <pageMargins left="0.7" right="0.7" top="0.75" bottom="0.75" header="0.3" footer="0.3"/>
  <pageSetup orientation="portrait" r:id="rId1"/>
  <headerFooter>
    <oddFooter>&amp;LRESTRICTED</oddFooter>
    <evenFooter>&amp;LRESTRICTED</evenFooter>
    <firstFooter>&amp;LRESTRICTED</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4"/>
  <sheetViews>
    <sheetView workbookViewId="0">
      <selection activeCell="M5" sqref="M5"/>
    </sheetView>
  </sheetViews>
  <sheetFormatPr defaultRowHeight="15" x14ac:dyDescent="0.25"/>
  <cols>
    <col min="1" max="1" width="25.140625" bestFit="1" customWidth="1"/>
    <col min="2" max="2" width="11" bestFit="1" customWidth="1"/>
    <col min="6" max="6" width="23.85546875" bestFit="1" customWidth="1"/>
    <col min="7" max="7" width="11" bestFit="1" customWidth="1"/>
    <col min="10" max="10" width="11" bestFit="1" customWidth="1"/>
    <col min="12" max="12" width="8.5703125" customWidth="1"/>
    <col min="13" max="13" width="17.140625" customWidth="1"/>
    <col min="14" max="14" width="20.42578125" bestFit="1" customWidth="1"/>
    <col min="15" max="15" width="15.42578125" bestFit="1" customWidth="1"/>
  </cols>
  <sheetData>
    <row r="1" spans="1:16" x14ac:dyDescent="0.25">
      <c r="A1" t="s">
        <v>172</v>
      </c>
      <c r="B1" t="s">
        <v>155</v>
      </c>
      <c r="C1" t="s">
        <v>156</v>
      </c>
    </row>
    <row r="2" spans="1:16" x14ac:dyDescent="0.25">
      <c r="A2" s="81" t="s">
        <v>157</v>
      </c>
      <c r="B2">
        <v>5212180000</v>
      </c>
      <c r="C2" t="s">
        <v>158</v>
      </c>
      <c r="F2" s="81" t="s">
        <v>161</v>
      </c>
      <c r="G2">
        <v>5212170000</v>
      </c>
      <c r="H2" t="s">
        <v>162</v>
      </c>
    </row>
    <row r="3" spans="1:16" x14ac:dyDescent="0.25">
      <c r="A3" s="81" t="s">
        <v>159</v>
      </c>
      <c r="B3">
        <v>5212100000</v>
      </c>
      <c r="C3" t="s">
        <v>158</v>
      </c>
      <c r="F3" s="81" t="s">
        <v>163</v>
      </c>
      <c r="G3">
        <v>5212190000</v>
      </c>
      <c r="H3" t="s">
        <v>162</v>
      </c>
      <c r="J3" s="83"/>
      <c r="N3" s="85" t="s">
        <v>170</v>
      </c>
      <c r="O3" s="85" t="s">
        <v>156</v>
      </c>
      <c r="P3" s="85" t="s">
        <v>171</v>
      </c>
    </row>
    <row r="4" spans="1:16" x14ac:dyDescent="0.25">
      <c r="A4" s="54" t="s">
        <v>62</v>
      </c>
      <c r="B4">
        <v>5212140000</v>
      </c>
      <c r="C4" t="s">
        <v>158</v>
      </c>
      <c r="F4" s="81" t="s">
        <v>164</v>
      </c>
      <c r="G4">
        <v>5212110000</v>
      </c>
      <c r="H4" t="s">
        <v>162</v>
      </c>
      <c r="M4">
        <v>5212190000</v>
      </c>
      <c r="N4" s="83" t="s">
        <v>75</v>
      </c>
      <c r="O4" s="82" t="s">
        <v>167</v>
      </c>
      <c r="P4" s="82"/>
    </row>
    <row r="5" spans="1:16" x14ac:dyDescent="0.25">
      <c r="A5" s="54" t="s">
        <v>87</v>
      </c>
      <c r="B5">
        <v>5212120000</v>
      </c>
      <c r="C5" t="s">
        <v>158</v>
      </c>
      <c r="F5" s="55" t="s">
        <v>76</v>
      </c>
      <c r="G5">
        <v>5212150000</v>
      </c>
      <c r="H5" t="s">
        <v>162</v>
      </c>
      <c r="M5">
        <v>5212170000</v>
      </c>
      <c r="N5" s="83" t="s">
        <v>74</v>
      </c>
      <c r="O5" s="82" t="s">
        <v>167</v>
      </c>
      <c r="P5" s="82"/>
    </row>
    <row r="6" spans="1:16" x14ac:dyDescent="0.25">
      <c r="A6" s="81" t="s">
        <v>160</v>
      </c>
      <c r="B6">
        <v>5212160000</v>
      </c>
      <c r="C6" t="s">
        <v>158</v>
      </c>
      <c r="F6" s="55" t="s">
        <v>73</v>
      </c>
      <c r="G6">
        <v>5212130000</v>
      </c>
      <c r="H6" t="s">
        <v>162</v>
      </c>
      <c r="M6">
        <v>5212170000</v>
      </c>
      <c r="N6" s="83" t="s">
        <v>5</v>
      </c>
      <c r="O6" s="82" t="s">
        <v>167</v>
      </c>
      <c r="P6" s="82"/>
    </row>
    <row r="7" spans="1:16" x14ac:dyDescent="0.25">
      <c r="M7">
        <v>5212170000</v>
      </c>
      <c r="N7" s="83" t="s">
        <v>6</v>
      </c>
      <c r="O7" s="82" t="s">
        <v>167</v>
      </c>
      <c r="P7" s="82"/>
    </row>
    <row r="8" spans="1:16" x14ac:dyDescent="0.25">
      <c r="M8">
        <v>5212170000</v>
      </c>
      <c r="N8" s="83" t="s">
        <v>7</v>
      </c>
      <c r="O8" s="82" t="s">
        <v>167</v>
      </c>
      <c r="P8" s="82"/>
    </row>
    <row r="9" spans="1:16" x14ac:dyDescent="0.25">
      <c r="M9">
        <v>5212170000</v>
      </c>
      <c r="N9" s="84" t="s">
        <v>28</v>
      </c>
      <c r="O9" s="82" t="s">
        <v>167</v>
      </c>
      <c r="P9" s="82"/>
    </row>
    <row r="10" spans="1:16" x14ac:dyDescent="0.25">
      <c r="M10">
        <v>5212180000</v>
      </c>
      <c r="N10" s="83" t="s">
        <v>75</v>
      </c>
      <c r="O10" s="82" t="s">
        <v>168</v>
      </c>
      <c r="P10" s="82"/>
    </row>
    <row r="11" spans="1:16" x14ac:dyDescent="0.25">
      <c r="M11">
        <v>5212160000</v>
      </c>
      <c r="N11" s="84" t="s">
        <v>28</v>
      </c>
      <c r="O11" s="82" t="s">
        <v>168</v>
      </c>
      <c r="P11" s="82"/>
    </row>
    <row r="12" spans="1:16" x14ac:dyDescent="0.25">
      <c r="N12" s="82" t="s">
        <v>38</v>
      </c>
      <c r="O12" s="82" t="s">
        <v>169</v>
      </c>
      <c r="P12" s="82"/>
    </row>
    <row r="14" spans="1:16" x14ac:dyDescent="0.25">
      <c r="N14" s="55"/>
    </row>
    <row r="15" spans="1:16" x14ac:dyDescent="0.25">
      <c r="N15" s="57"/>
    </row>
    <row r="16" spans="1:16" x14ac:dyDescent="0.25">
      <c r="A16" t="s">
        <v>165</v>
      </c>
      <c r="B16" t="s">
        <v>155</v>
      </c>
      <c r="C16" t="s">
        <v>156</v>
      </c>
    </row>
    <row r="17" spans="1:14" x14ac:dyDescent="0.25">
      <c r="A17" s="74" t="s">
        <v>123</v>
      </c>
      <c r="B17">
        <v>5213600000</v>
      </c>
      <c r="C17" t="s">
        <v>166</v>
      </c>
      <c r="J17" t="s">
        <v>181</v>
      </c>
    </row>
    <row r="18" spans="1:14" x14ac:dyDescent="0.25">
      <c r="A18" s="74" t="s">
        <v>124</v>
      </c>
      <c r="B18">
        <v>5115190000</v>
      </c>
      <c r="C18" t="s">
        <v>166</v>
      </c>
      <c r="J18">
        <v>5212130000</v>
      </c>
      <c r="K18" s="54" t="s">
        <v>104</v>
      </c>
      <c r="N18" s="74"/>
    </row>
    <row r="19" spans="1:14" x14ac:dyDescent="0.25">
      <c r="A19" s="74" t="s">
        <v>125</v>
      </c>
      <c r="B19">
        <v>5226600000</v>
      </c>
      <c r="C19" t="s">
        <v>166</v>
      </c>
      <c r="J19">
        <v>5212190000</v>
      </c>
      <c r="K19" s="55" t="s">
        <v>75</v>
      </c>
      <c r="N19" s="74"/>
    </row>
    <row r="20" spans="1:14" x14ac:dyDescent="0.25">
      <c r="A20" s="74" t="s">
        <v>126</v>
      </c>
      <c r="B20">
        <v>5212200000</v>
      </c>
      <c r="C20" t="s">
        <v>166</v>
      </c>
      <c r="J20">
        <v>5212170000</v>
      </c>
      <c r="K20" s="54" t="s">
        <v>177</v>
      </c>
      <c r="N20" s="74"/>
    </row>
    <row r="21" spans="1:14" x14ac:dyDescent="0.25">
      <c r="A21" s="74" t="s">
        <v>133</v>
      </c>
      <c r="B21">
        <v>5226700000</v>
      </c>
      <c r="C21" t="s">
        <v>166</v>
      </c>
      <c r="J21">
        <v>5212170000</v>
      </c>
      <c r="K21" s="57" t="s">
        <v>28</v>
      </c>
      <c r="N21" s="74"/>
    </row>
    <row r="22" spans="1:14" x14ac:dyDescent="0.25">
      <c r="A22" s="74" t="s">
        <v>127</v>
      </c>
      <c r="B22">
        <v>5212210000</v>
      </c>
      <c r="C22" t="s">
        <v>166</v>
      </c>
      <c r="K22" s="55"/>
      <c r="N22" s="74"/>
    </row>
    <row r="23" spans="1:14" x14ac:dyDescent="0.25">
      <c r="K23" s="55"/>
      <c r="N23" s="74"/>
    </row>
    <row r="24" spans="1:14" x14ac:dyDescent="0.25">
      <c r="N24" s="74"/>
    </row>
  </sheetData>
  <pageMargins left="0.7" right="0.7" top="0.75" bottom="0.75" header="0.3" footer="0.3"/>
  <pageSetup orientation="portrait" r:id="rId1"/>
  <headerFooter>
    <oddFooter>&amp;LRESTRICTED</oddFooter>
    <evenFooter>&amp;LRESTRICTED</evenFooter>
    <firstFooter>&amp;LRESTRICTED</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10FA3D76578848A741F6059652CF7F" ma:contentTypeVersion="0" ma:contentTypeDescription="Create a new document." ma:contentTypeScope="" ma:versionID="abf45637020efcbc68ee81b62093888f">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066C6F4-FBAF-4EC5-92F3-C425A56C45CC}">
  <ds:schemaRefs>
    <ds:schemaRef ds:uri="http://schemas.microsoft.com/sharepoint/v3/contenttype/forms"/>
  </ds:schemaRefs>
</ds:datastoreItem>
</file>

<file path=customXml/itemProps2.xml><?xml version="1.0" encoding="utf-8"?>
<ds:datastoreItem xmlns:ds="http://schemas.openxmlformats.org/officeDocument/2006/customXml" ds:itemID="{24AFACE3-4DB7-46A2-8765-A2B611080C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418BA52-035B-4DE5-876A-E40FA4336ACA}">
  <ds:schemaRefs>
    <ds:schemaRef ds:uri="http://purl.org/dc/terms/"/>
    <ds:schemaRef ds:uri="http://schemas.microsoft.com/office/2006/metadata/properties"/>
    <ds:schemaRef ds:uri="http://schemas.microsoft.com/office/2006/documentManagement/types"/>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Landing Page</vt:lpstr>
      <vt:lpstr>Int Biz Travel</vt:lpstr>
      <vt:lpstr>Int Advance</vt:lpstr>
      <vt:lpstr>Int Expense</vt:lpstr>
      <vt:lpstr>Dom Biz Travel</vt:lpstr>
      <vt:lpstr>Dom Advance</vt:lpstr>
      <vt:lpstr>Dom Expense</vt:lpstr>
      <vt:lpstr>Relocation A</vt:lpstr>
      <vt:lpstr>Relocation B</vt:lpstr>
      <vt:lpstr>Corporate Credit Card</vt:lpstr>
      <vt:lpstr>Others</vt:lpstr>
      <vt:lpstr>References</vt:lpstr>
      <vt:lpstr>GL Codes</vt:lpstr>
      <vt:lpstr>Banks</vt:lpstr>
      <vt:lpstr>CURRENCY</vt:lpstr>
      <vt:lpstr>Mode_Of_Recovery</vt:lpstr>
      <vt:lpstr>Payment_Type</vt:lpstr>
      <vt:lpstr>'Corporate Credit Card'!Print_Area</vt:lpstr>
      <vt:lpstr>'Dom Biz Travel'!Print_Area</vt:lpstr>
      <vt:lpstr>'Int Biz Travel'!Print_Area</vt:lpstr>
      <vt:lpstr>Others!Print_Area</vt:lpstr>
      <vt:lpstr>'Relocation A'!Print_Area</vt:lpstr>
      <vt:lpstr>'Relocation B'!Print_Area</vt:lpstr>
    </vt:vector>
  </TitlesOfParts>
  <Company>HSBC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charith.appachu@noexternalmail.hsbc.com</dc:creator>
  <cp:keywords>RESTRICTED</cp:keywords>
  <dc:description>RESTRICTED</dc:description>
  <cp:lastModifiedBy>kiran.sonawane@hsbc.co.in</cp:lastModifiedBy>
  <cp:lastPrinted>2017-03-21T06:46:15Z</cp:lastPrinted>
  <dcterms:created xsi:type="dcterms:W3CDTF">2016-10-12T07:50:36Z</dcterms:created>
  <dcterms:modified xsi:type="dcterms:W3CDTF">2017-03-21T06:52:44Z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RESTRICTED</vt:lpwstr>
  </property>
  <property fmtid="{D5CDD505-2E9C-101B-9397-08002B2CF9AE}" pid="3" name="Source">
    <vt:lpwstr>Internal</vt:lpwstr>
  </property>
  <property fmtid="{D5CDD505-2E9C-101B-9397-08002B2CF9AE}" pid="4" name="Footers">
    <vt:lpwstr>Footers</vt:lpwstr>
  </property>
  <property fmtid="{D5CDD505-2E9C-101B-9397-08002B2CF9AE}" pid="5" name="DocClassification">
    <vt:lpwstr>CLARESTRI</vt:lpwstr>
  </property>
  <property fmtid="{D5CDD505-2E9C-101B-9397-08002B2CF9AE}" pid="6" name="ContentTypeId">
    <vt:lpwstr>0x010100E310FA3D76578848A741F6059652CF7F</vt:lpwstr>
  </property>
</Properties>
</file>