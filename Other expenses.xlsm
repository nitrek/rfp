
<file path=[Content_Types].xml><?xml version="1.0" encoding="utf-8"?>
<Types xmlns="http://schemas.openxmlformats.org/package/2006/content-types">
  <Override PartName="/_rels/.rels" ContentType="application/vnd.openxmlformats-package.relationships+xml"/>
  <Override PartName="/docProps/custom.xml" ContentType="application/vnd.openxmlformats-officedocument.custom-properties+xml"/>
  <Override PartName="/docProps/app.xml" ContentType="application/vnd.openxmlformats-officedocument.extended-properties+xml"/>
  <Override PartName="/docProps/core.xml" ContentType="application/vnd.openxmlformats-package.core-properties+xml"/>
  <Override PartName="/xl/_rels/workbook.xml.rels" ContentType="application/vnd.openxmlformats-package.relationships+xml"/>
  <Override PartName="/xl/media/image325.png" ContentType="image/png"/>
  <Override PartName="/xl/media/image324.png" ContentType="image/png"/>
  <Override PartName="/xl/media/image323.png" ContentType="image/png"/>
  <Override PartName="/xl/media/image309.png" ContentType="image/png"/>
  <Override PartName="/xl/media/image308.png" ContentType="image/png"/>
  <Override PartName="/xl/media/image307.png" ContentType="image/png"/>
  <Override PartName="/xl/media/image322.png" ContentType="image/png"/>
  <Override PartName="/xl/media/image306.png" ContentType="image/png"/>
  <Override PartName="/xl/media/image321.png" ContentType="image/png"/>
  <Override PartName="/xl/media/image305.png" ContentType="image/png"/>
  <Override PartName="/xl/media/image320.png" ContentType="image/png"/>
  <Override PartName="/xl/media/image301.png" ContentType="image/png"/>
  <Override PartName="/xl/media/image302.png" ContentType="image/png"/>
  <Override PartName="/xl/media/image303.png" ContentType="image/png"/>
  <Override PartName="/xl/media/image310.png" ContentType="image/png"/>
  <Override PartName="/xl/media/image304.png" ContentType="image/png"/>
  <Override PartName="/xl/media/image311.png" ContentType="image/png"/>
  <Override PartName="/xl/media/image312.png" ContentType="image/png"/>
  <Override PartName="/xl/media/image313.png" ContentType="image/png"/>
  <Override PartName="/xl/media/image314.png" ContentType="image/png"/>
  <Override PartName="/xl/media/image315.png" ContentType="image/png"/>
  <Override PartName="/xl/media/image316.png" ContentType="image/png"/>
  <Override PartName="/xl/media/image317.png" ContentType="image/png"/>
  <Override PartName="/xl/media/image318.png" ContentType="image/png"/>
  <Override PartName="/xl/media/image319.png" ContentType="image/png"/>
  <Override PartName="/xl/sharedStrings.xml" ContentType="application/vnd.openxmlformats-officedocument.spreadsheetml.sharedStrings+xml"/>
  <Override PartName="/xl/drawings/drawing11.xml" ContentType="application/vnd.openxmlformats-officedocument.drawing+xml"/>
  <Override PartName="/xl/drawings/drawing4.xml" ContentType="application/vnd.openxmlformats-officedocument.drawing+xml"/>
  <Override PartName="/xl/drawings/drawing3.xml" ContentType="application/vnd.openxmlformats-officedocument.drawing+xml"/>
  <Override PartName="/xl/drawings/drawing2.xml" ContentType="application/vnd.openxmlformats-officedocument.drawing+xml"/>
  <Override PartName="/xl/drawings/drawing1.xml" ContentType="application/vnd.openxmlformats-officedocument.drawing+xml"/>
  <Override PartName="/xl/drawings/drawing10.xml" ContentType="application/vnd.openxmlformats-officedocument.drawing+xml"/>
  <Override PartName="/xl/drawings/_rels/drawing11.xml.rels" ContentType="application/vnd.openxmlformats-package.relationships+xml"/>
  <Override PartName="/xl/drawings/_rels/drawing10.xml.rels" ContentType="application/vnd.openxmlformats-package.relationships+xml"/>
  <Override PartName="/xl/drawings/_rels/drawing9.xml.rels" ContentType="application/vnd.openxmlformats-package.relationships+xml"/>
  <Override PartName="/xl/drawings/_rels/drawing1.xml.rels" ContentType="application/vnd.openxmlformats-package.relationships+xml"/>
  <Override PartName="/xl/drawings/_rels/drawing2.xml.rels" ContentType="application/vnd.openxmlformats-package.relationships+xml"/>
  <Override PartName="/xl/drawings/_rels/drawing8.xml.rels" ContentType="application/vnd.openxmlformats-package.relationships+xml"/>
  <Override PartName="/xl/drawings/_rels/drawing5.xml.rels" ContentType="application/vnd.openxmlformats-package.relationship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workbook.xml" ContentType="application/vnd.ms-excel.sheet.macroEnabled.main+xml"/>
  <Override PartName="/xl/styles.xml" ContentType="application/vnd.openxmlformats-officedocument.spreadsheetml.styles+xml"/>
  <Override PartName="/xl/vbaProject.bin" ContentType="application/vnd.ms-office.vbaProject"/>
  <Override PartName="/xl/worksheets/_rels/sheet11.xml.rels" ContentType="application/vnd.openxmlformats-package.relationships+xml"/>
  <Override PartName="/xl/worksheets/_rels/sheet4.xml.rels" ContentType="application/vnd.openxmlformats-package.relationships+xml"/>
  <Override PartName="/xl/worksheets/_rels/sheet3.xml.rels" ContentType="application/vnd.openxmlformats-package.relationships+xml"/>
  <Override PartName="/xl/worksheets/_rels/sheet5.xml.rels" ContentType="application/vnd.openxmlformats-package.relationships+xml"/>
  <Override PartName="/xl/worksheets/_rels/sheet6.xml.rels" ContentType="application/vnd.openxmlformats-package.relationships+xml"/>
  <Override PartName="/xl/worksheets/_rels/sheet7.xml.rels" ContentType="application/vnd.openxmlformats-package.relationships+xml"/>
  <Override PartName="/xl/worksheets/_rels/sheet1.xml.rels" ContentType="application/vnd.openxmlformats-package.relationships+xml"/>
  <Override PartName="/xl/worksheets/_rels/sheet8.xml.rels" ContentType="application/vnd.openxmlformats-package.relationships+xml"/>
  <Override PartName="/xl/worksheets/_rels/sheet2.xml.rels" ContentType="application/vnd.openxmlformats-package.relationships+xml"/>
  <Override PartName="/xl/worksheets/_rels/sheet9.xml.rels" ContentType="application/vnd.openxmlformats-package.relationships+xml"/>
  <Override PartName="/xl/worksheets/_rels/sheet10.xml.rels" ContentType="application/vnd.openxmlformats-package.relationships+xml"/>
  <Override PartName="/xl/worksheets/sheet13.xml" ContentType="application/vnd.openxmlformats-officedocument.spreadsheetml.worksheet+xml"/>
  <Override PartName="/xl/worksheets/sheet4.xml" ContentType="application/vnd.openxmlformats-officedocument.spreadsheetml.worksheet+xml"/>
  <Override PartName="/xl/worksheets/sheet3.xml" ContentType="application/vnd.openxmlformats-officedocument.spreadsheetml.worksheet+xml"/>
  <Override PartName="/xl/worksheets/sheet2.xml" ContentType="application/vnd.openxmlformats-officedocument.spreadsheetml.worksheet+xml"/>
  <Override PartName="/xl/worksheets/sheet1.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9.xml" ContentType="application/vnd.openxmlformats-officedocument.spreadsheetml.worksheet+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false" xWindow="0" yWindow="0" windowWidth="16384" windowHeight="8192" tabRatio="600" firstSheet="0" activeTab="10"/>
  </bookViews>
  <sheets>
    <sheet name="Landing Page" sheetId="1" state="visible" r:id="rId3"/>
    <sheet name="Int Biz Travel" sheetId="2" state="visible" r:id="rId4"/>
    <sheet name="Int Advance" sheetId="3" state="visible" r:id="rId5"/>
    <sheet name="Int Expense" sheetId="4" state="visible" r:id="rId6"/>
    <sheet name="Dom Biz Travel" sheetId="5" state="visible" r:id="rId7"/>
    <sheet name="Dom Advance" sheetId="6" state="visible" r:id="rId8"/>
    <sheet name="Dom Expense" sheetId="7" state="visible" r:id="rId9"/>
    <sheet name="Relocation A" sheetId="8" state="visible" r:id="rId10"/>
    <sheet name="Relocation B" sheetId="9" state="visible" r:id="rId11"/>
    <sheet name="Corporate Credit Card" sheetId="10" state="visible" r:id="rId12"/>
    <sheet name="Others" sheetId="11" state="visible" r:id="rId13"/>
    <sheet name="References" sheetId="12" state="hidden" r:id="rId14"/>
    <sheet name="GL Codes" sheetId="13" state="hidden" r:id="rId15"/>
  </sheets>
  <definedNames>
    <definedName function="false" hidden="false" localSheetId="9" name="_xlnm.Print_Area" vbProcedure="false">'Corporate Credit Card'!$A$1:$M$61</definedName>
    <definedName function="false" hidden="false" localSheetId="4" name="_xlnm.Print_Area" vbProcedure="false">'Dom Biz Travel'!$A$1:$M$195</definedName>
    <definedName function="false" hidden="false" localSheetId="1" name="_xlnm.Print_Area" vbProcedure="false">'Int Biz Travel'!$A$1:$M$209</definedName>
    <definedName function="false" hidden="false" localSheetId="10" name="_xlnm.Print_Area" vbProcedure="false">Others!$A$1:$M$62</definedName>
    <definedName function="false" hidden="false" localSheetId="7" name="_xlnm.Print_Area" vbProcedure="false">'Relocation A'!$A$1:$M$62</definedName>
    <definedName function="false" hidden="false" localSheetId="8" name="_xlnm.Print_Area" vbProcedure="false">'Relocation B'!$A$1:$M$61</definedName>
    <definedName function="false" hidden="false" name="Banks" vbProcedure="false">References!$A$1:$A$3</definedName>
    <definedName function="false" hidden="false" name="CURRENCY" vbProcedure="false">References!$D$1:$D$22</definedName>
    <definedName function="false" hidden="false" name="Mode_Of_Recovery" vbProcedure="false">References!$C$1:$C$4</definedName>
    <definedName function="false" hidden="false" name="Payment_Type" vbProcedure="false">References!$B$1:$B$6</definedName>
    <definedName function="false" hidden="false" localSheetId="1" name="_xlnm.Print_Area" vbProcedure="false">'Int Biz Travel'!$A$1:$M$209</definedName>
    <definedName function="false" hidden="false" localSheetId="1" name="_xlnm.Print_Area_0" vbProcedure="false">'Int Biz Travel'!$A$1:$M$209</definedName>
    <definedName function="false" hidden="false" localSheetId="4" name="_xlnm.Print_Area" vbProcedure="false">'Dom Biz Travel'!$A$1:$M$195</definedName>
    <definedName function="false" hidden="false" localSheetId="4" name="_xlnm.Print_Area_0" vbProcedure="false">'Dom Biz Travel'!$A$1:$M$195</definedName>
    <definedName function="false" hidden="false" localSheetId="7" name="_xlnm.Print_Area" vbProcedure="false">'Relocation A'!$A$1:$M$62</definedName>
    <definedName function="false" hidden="false" localSheetId="7" name="_xlnm.Print_Area_0" vbProcedure="false">'Relocation A'!$A$1:$M$62</definedName>
    <definedName function="false" hidden="false" localSheetId="8" name="_xlnm.Print_Area" vbProcedure="false">'Relocation B'!$A$1:$M$61</definedName>
    <definedName function="false" hidden="false" localSheetId="8" name="_xlnm.Print_Area_0" vbProcedure="false">'Relocation B'!$A$1:$M$61</definedName>
    <definedName function="false" hidden="false" localSheetId="9" name="_xlnm.Print_Area" vbProcedure="false">'Corporate Credit Card'!$A$1:$M$61</definedName>
    <definedName function="false" hidden="false" localSheetId="9" name="_xlnm.Print_Area_0" vbProcedure="false">'Corporate Credit Card'!$A$1:$M$61</definedName>
    <definedName function="false" hidden="false" localSheetId="10" name="_xlnm.Print_Area" vbProcedure="false">Others!$A$1:$M$62</definedName>
    <definedName function="false" hidden="false" localSheetId="10" name="_xlnm.Print_Area_0" vbProcedure="false">Others!$A$1:$M$62</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<sst xmlns="http://schemas.openxmlformats.org/spreadsheetml/2006/main" count="519" uniqueCount="217">
  <si>
    <t xml:space="preserve">For Advances and Expenses related to overseas business travel, click here</t>
  </si>
  <si>
    <t xml:space="preserve">For expenses related to domestic business travel, click here</t>
  </si>
  <si>
    <t xml:space="preserve">For Relocation reimbursements related to Packers &amp; Movers, Per Diem - Self, Travel and Brokerage, click here</t>
  </si>
  <si>
    <t xml:space="preserve">For Relocation reimbursements related to Per Diem - Spouse / Family, Accommodation / deposit and school fees, click here</t>
  </si>
  <si>
    <t xml:space="preserve">For Corporate Credit Card Expenses, click here</t>
  </si>
  <si>
    <t xml:space="preserve">For any other expenses, click here</t>
  </si>
  <si>
    <t xml:space="preserve">Note :</t>
  </si>
  <si>
    <t xml:space="preserve">(1) Kindly select "Enable Content" in the Security Warning message that appears on opening the Excel. Else an error stating "Cannot run the macro" appears </t>
  </si>
  <si>
    <t xml:space="preserve">(2) The user is expected to fill in all the fields provided in the form. </t>
  </si>
  <si>
    <t xml:space="preserve">(3) The user is expected to take a printout of the form and validate the form with signatures and then send it to the processing team</t>
  </si>
  <si>
    <t xml:space="preserve">               OVERSEAS BUSINESS TRAVEL EXPENSE </t>
  </si>
  <si>
    <t xml:space="preserve">   </t>
  </si>
  <si>
    <t xml:space="preserve">Date</t>
  </si>
  <si>
    <t xml:space="preserve">Name of the Employee</t>
  </si>
  <si>
    <t xml:space="preserve">PeopleSoft No</t>
  </si>
  <si>
    <t xml:space="preserve">Department/Office</t>
  </si>
  <si>
    <t xml:space="preserve">Designation</t>
  </si>
  <si>
    <t xml:space="preserve">Office Location</t>
  </si>
  <si>
    <t xml:space="preserve">Duration</t>
  </si>
  <si>
    <t xml:space="preserve">Place of Visit</t>
  </si>
  <si>
    <t xml:space="preserve">From</t>
  </si>
  <si>
    <t xml:space="preserve">To</t>
  </si>
  <si>
    <t xml:space="preserve">On-site Location Arrival Date</t>
  </si>
  <si>
    <t xml:space="preserve">On-site Location Departure Date</t>
  </si>
  <si>
    <t xml:space="preserve">Card issued by                                             </t>
  </si>
  <si>
    <t xml:space="preserve">Travel Card No</t>
  </si>
  <si>
    <t xml:space="preserve">Note: Kindly read the instructions &amp; fill all the required details carefully before submission of the claim.</t>
  </si>
  <si>
    <t xml:space="preserve">Do you wish to fill information regarding Advance Received ? </t>
  </si>
  <si>
    <t xml:space="preserve">Currency</t>
  </si>
  <si>
    <t xml:space="preserve">Amount</t>
  </si>
  <si>
    <t xml:space="preserve">Total Advance (A)</t>
  </si>
  <si>
    <t xml:space="preserve">Do you wish to fill information regarding Expenses Incurred ? </t>
  </si>
  <si>
    <t xml:space="preserve">Total Expenditure (B)</t>
  </si>
  <si>
    <t xml:space="preserve">SUMMARY:</t>
  </si>
  <si>
    <t xml:space="preserve">Total Advance ( A)</t>
  </si>
  <si>
    <r>
      <rPr>
        <b val="true"/>
        <sz val="9"/>
        <color rgb="FF000000"/>
        <rFont val="Times New Roman"/>
        <family val="1"/>
        <charset val="1"/>
      </rPr>
      <t xml:space="preserve">Declaration</t>
    </r>
    <r>
      <rPr>
        <sz val="9"/>
        <color rgb="FF000000"/>
        <rFont val="Times New Roman"/>
        <family val="1"/>
        <charset val="1"/>
      </rPr>
      <t xml:space="preserve"> :</t>
    </r>
  </si>
  <si>
    <t xml:space="preserve">As per HSDI Travel policy, the employee is expected to withdraw the entire DOA before arrival to home country.  I hereby declare that entire allowances received during this overseas trip have been spent on my daily expenses.</t>
  </si>
  <si>
    <t xml:space="preserve">Signature of the Associate</t>
  </si>
  <si>
    <t xml:space="preserve">Approved by the PM / SPM</t>
  </si>
  <si>
    <t xml:space="preserve">Name of the Associate</t>
  </si>
  <si>
    <t xml:space="preserve">Name of the PM / SPM</t>
  </si>
  <si>
    <t xml:space="preserve">Date:</t>
  </si>
  <si>
    <t xml:space="preserve">Approved for payment (Head of Dept.)</t>
  </si>
  <si>
    <t xml:space="preserve">Processed by Accounts Payable</t>
  </si>
  <si>
    <r>
      <rPr>
        <b val="true"/>
        <sz val="9"/>
        <color rgb="FF000000"/>
        <rFont val="Times New Roman"/>
        <family val="1"/>
        <charset val="1"/>
      </rPr>
      <t xml:space="preserve">SUPPORTING DOCUMENT CHECK LIST</t>
    </r>
    <r>
      <rPr>
        <sz val="9"/>
        <color rgb="FF000000"/>
        <rFont val="Times New Roman"/>
        <family val="1"/>
        <charset val="1"/>
      </rPr>
      <t xml:space="preserve">:</t>
    </r>
  </si>
  <si>
    <t xml:space="preserve">Hotel Receipt</t>
  </si>
  <si>
    <t xml:space="preserve">Taxi/Travel Receipt</t>
  </si>
  <si>
    <t xml:space="preserve">Travel Card Statement</t>
  </si>
  <si>
    <t xml:space="preserve">Long distance calls bills</t>
  </si>
  <si>
    <t xml:space="preserve">Bills for Miscellaneous</t>
  </si>
  <si>
    <r>
      <rPr>
        <b val="true"/>
        <sz val="9"/>
        <color rgb="FF000000"/>
        <rFont val="Times New Roman"/>
        <family val="1"/>
        <charset val="1"/>
      </rPr>
      <t xml:space="preserve">NOTES</t>
    </r>
    <r>
      <rPr>
        <sz val="9"/>
        <color rgb="FF000000"/>
        <rFont val="Times New Roman"/>
        <family val="1"/>
        <charset val="1"/>
      </rPr>
      <t xml:space="preserve">:</t>
    </r>
  </si>
  <si>
    <t xml:space="preserve">Please attach bills and receipts as appropriate</t>
  </si>
  <si>
    <t xml:space="preserve">DOA is applicable from the day of arrival in the overseas location to the day of departure</t>
  </si>
  <si>
    <t xml:space="preserve">Kindly attach statement copy of either Forex card or corporate credit card for travel period expenses</t>
  </si>
  <si>
    <t xml:space="preserve">Kindly refer Travel Policy guideline available in Intranet before claim of expenses. In case of clarifications, kindly contact HSDI Travel Desk</t>
  </si>
  <si>
    <t xml:space="preserve">Document for Internal Circulation &amp; Use only</t>
  </si>
  <si>
    <t xml:space="preserve">Details of Recovery in case total business expense is less than Forex Advance</t>
  </si>
  <si>
    <r>
      <rPr>
        <b val="true"/>
        <i val="true"/>
        <sz val="8"/>
        <color rgb="FF000000"/>
        <rFont val="Times New Roman"/>
        <family val="1"/>
        <charset val="1"/>
      </rPr>
      <t xml:space="preserve">(Note: </t>
    </r>
    <r>
      <rPr>
        <i val="true"/>
        <sz val="8"/>
        <color rgb="FF000000"/>
        <rFont val="Times New Roman"/>
        <family val="1"/>
        <charset val="1"/>
      </rPr>
      <t xml:space="preserve">Kindly select the mode of recovery. Please select multiple options in case of multiple recovery methods)</t>
    </r>
  </si>
  <si>
    <t xml:space="preserve">Option</t>
  </si>
  <si>
    <t xml:space="preserve">Recovery</t>
  </si>
  <si>
    <t xml:space="preserve">Withdrawal from Card balance</t>
  </si>
  <si>
    <t xml:space="preserve">Forex will be returned to Finance</t>
  </si>
  <si>
    <t xml:space="preserve">Salary Deduction</t>
  </si>
  <si>
    <t xml:space="preserve">Applicable only for "Withdrawal from Card balance"</t>
  </si>
  <si>
    <t xml:space="preserve">Travel Card Number</t>
  </si>
  <si>
    <t xml:space="preserve">Card Issuing Bank</t>
  </si>
  <si>
    <t xml:space="preserve">Balance in card</t>
  </si>
  <si>
    <t xml:space="preserve">Comments</t>
  </si>
  <si>
    <t xml:space="preserve">ADVANCE PAYMENT</t>
  </si>
  <si>
    <t xml:space="preserve">Advance Payment Type</t>
  </si>
  <si>
    <t xml:space="preserve">Date 
(dd-mmm-yy)</t>
  </si>
  <si>
    <r>
      <rPr>
        <b val="true"/>
        <i val="true"/>
        <u val="single"/>
        <sz val="8"/>
        <color rgb="FF000000"/>
        <rFont val="Times New Roman"/>
        <family val="1"/>
        <charset val="1"/>
      </rPr>
      <t xml:space="preserve">Note </t>
    </r>
    <r>
      <rPr>
        <i val="true"/>
        <sz val="8"/>
        <color rgb="FF000000"/>
        <rFont val="Times New Roman"/>
        <family val="1"/>
        <charset val="1"/>
      </rPr>
      <t xml:space="preserve">: In case the expense is in multiple currencies, please convert the values to the currency in which the advance was received. For FX conversion, please use any available currency conversion site like OANDA, XE etc and please mention the rate used in the comments</t>
    </r>
  </si>
  <si>
    <t xml:space="preserve">EXPENSES</t>
  </si>
  <si>
    <t xml:space="preserve">Expense Classification</t>
  </si>
  <si>
    <t xml:space="preserve">Payment Type</t>
  </si>
  <si>
    <t xml:space="preserve"># of Supporting Documents</t>
  </si>
  <si>
    <t xml:space="preserve">                      LOCAL BUSINESS TRAVEL EXPENSE </t>
  </si>
  <si>
    <t xml:space="preserve">Place of visit</t>
  </si>
  <si>
    <t xml:space="preserve">Departure Date</t>
  </si>
  <si>
    <t xml:space="preserve">Arrival Date</t>
  </si>
  <si>
    <t xml:space="preserve">Purpose of Visit</t>
  </si>
  <si>
    <t xml:space="preserve">Project Name</t>
  </si>
  <si>
    <t xml:space="preserve">Do you wish to fill information regarding Deductions? </t>
  </si>
  <si>
    <t xml:space="preserve">Per Diem ( in INR)</t>
  </si>
  <si>
    <t xml:space="preserve">Deductions</t>
  </si>
  <si>
    <t xml:space="preserve">No. of Days</t>
  </si>
  <si>
    <t xml:space="preserve">Amount per day</t>
  </si>
  <si>
    <t xml:space="preserve">Total (INR)</t>
  </si>
  <si>
    <t xml:space="preserve">Lunch ( No. of days x Amount)</t>
  </si>
  <si>
    <t xml:space="preserve">Dinner (No. of nights x Amount)</t>
  </si>
  <si>
    <t xml:space="preserve">Total Deductions (C)</t>
  </si>
  <si>
    <t xml:space="preserve">Total Expenditure(B)</t>
  </si>
  <si>
    <t xml:space="preserve">I hereby declare that during this business trip I have spent the entire per diem amount received for it on Coveyance and Food</t>
  </si>
  <si>
    <t xml:space="preserve">Approved by the PM/ SPM</t>
  </si>
  <si>
    <t xml:space="preserve">Reimbursements for one trip should not be claimed through multiple forms</t>
  </si>
  <si>
    <t xml:space="preserve">For arrivals (departures) for days when the return journey commences after (before) 12:00 hrs, 50% of the daily rate can be claimed. When the bank provides you with lunch or dinner, the daily reimbursemenet will be reduced by 20% for lunch and 40% for dinner respectively</t>
  </si>
  <si>
    <t xml:space="preserve">Details of Recovery in case total business expense is less than Advance</t>
  </si>
  <si>
    <t xml:space="preserve">INR INDIAN RUPEE</t>
  </si>
  <si>
    <r>
      <rPr>
        <b val="true"/>
        <i val="true"/>
        <u val="single"/>
        <sz val="8"/>
        <color rgb="FF000000"/>
        <rFont val="Times New Roman"/>
        <family val="1"/>
        <charset val="1"/>
      </rPr>
      <t xml:space="preserve">Note </t>
    </r>
    <r>
      <rPr>
        <i val="true"/>
        <sz val="8"/>
        <color rgb="FF000000"/>
        <rFont val="Times New Roman"/>
        <family val="1"/>
        <charset val="1"/>
      </rPr>
      <t xml:space="preserve">: In case the expense is in multiple currencies, please convert the values to Indian Rupee. For FX conversion, please use any available currency conversion site like OANDA, XE etc and please mention the rate used in the comments</t>
    </r>
  </si>
  <si>
    <t xml:space="preserve">                       RELOCATION EXPENSE  - FORM A</t>
  </si>
  <si>
    <t xml:space="preserve">Relocation from</t>
  </si>
  <si>
    <t xml:space="preserve">Narration</t>
  </si>
  <si>
    <t xml:space="preserve">Date (dd-mmm-yy)</t>
  </si>
  <si>
    <t xml:space="preserve">Total Expenditure</t>
  </si>
  <si>
    <t xml:space="preserve">Details for Transfer</t>
  </si>
  <si>
    <t xml:space="preserve">Bank Name</t>
  </si>
  <si>
    <t xml:space="preserve">Account Number</t>
  </si>
  <si>
    <t xml:space="preserve">Account Holder Name</t>
  </si>
  <si>
    <t xml:space="preserve">IFSC Code</t>
  </si>
  <si>
    <t xml:space="preserve">I certify that the above provided information is accurate to the best of my knowledge</t>
  </si>
  <si>
    <t xml:space="preserve">Packers &amp; Movers Receipt</t>
  </si>
  <si>
    <t xml:space="preserve">Travel Receipt</t>
  </si>
  <si>
    <t xml:space="preserve">Brokerage Receipt</t>
  </si>
  <si>
    <t xml:space="preserve">Kindly refer Relocation Policy and FAQ document in HR Direct before claim of expenses. In case of clarifications, kindly contact HSDI Travel Desk</t>
  </si>
  <si>
    <t xml:space="preserve">                         RELOCATION EXPENSE  - FORM B</t>
  </si>
  <si>
    <t xml:space="preserve">Accommodation Receipt</t>
  </si>
  <si>
    <t xml:space="preserve">School Fees Receipt</t>
  </si>
  <si>
    <t xml:space="preserve">                             CORPORATE CREDIT CARD EXPENSE</t>
  </si>
  <si>
    <t xml:space="preserve">Credit Card Number</t>
  </si>
  <si>
    <t xml:space="preserve">Kindly read the instructions &amp; fill all the required details carefully before submission of the claim.</t>
  </si>
  <si>
    <r>
      <rPr>
        <b val="true"/>
        <i val="true"/>
        <u val="single"/>
        <sz val="8"/>
        <color rgb="FF000000"/>
        <rFont val="Times New Roman"/>
        <family val="1"/>
        <charset val="1"/>
      </rPr>
      <t xml:space="preserve">Note </t>
    </r>
    <r>
      <rPr>
        <i val="true"/>
        <sz val="8"/>
        <color rgb="FF000000"/>
        <rFont val="Times New Roman"/>
        <family val="1"/>
        <charset val="1"/>
      </rPr>
      <t xml:space="preserve">: In case the expense is in multiple currencies, please convert the values to a single currency. For FX conversion, please use any available currency conversion site like OANDA, XE etc and please mention the rate used in the comments</t>
    </r>
  </si>
  <si>
    <t xml:space="preserve">Credit Card Statement</t>
  </si>
  <si>
    <t xml:space="preserve">Required</t>
  </si>
  <si>
    <t xml:space="preserve">Food bills</t>
  </si>
  <si>
    <t xml:space="preserve">Client Entertainment Receipt</t>
  </si>
  <si>
    <t xml:space="preserve">Dept - Staff Welfare Receipt</t>
  </si>
  <si>
    <t xml:space="preserve">Misc. Expenses Receipt</t>
  </si>
  <si>
    <t xml:space="preserve">                             OTHER EXPENSE</t>
  </si>
  <si>
    <t xml:space="preserve">MAHDIHUSAIN MOMIN</t>
  </si>
  <si>
    <t xml:space="preserve">GBM</t>
  </si>
  <si>
    <t xml:space="preserve">INTERN</t>
  </si>
  <si>
    <t xml:space="preserve">BUSINESS BAY, PUNE</t>
  </si>
  <si>
    <t xml:space="preserve">TRAVEL </t>
  </si>
  <si>
    <t xml:space="preserve">Travel expenses mentioned here are of joining and leaving HSBC during summer internship.</t>
  </si>
  <si>
    <t xml:space="preserve">SBI</t>
  </si>
  <si>
    <t xml:space="preserve">20180422460</t>
  </si>
  <si>
    <t xml:space="preserve">MOMIN MAHDIHUSAIN</t>
  </si>
  <si>
    <t xml:space="preserve">SBIN0001077</t>
  </si>
  <si>
    <t xml:space="preserve">External Courses Receipt</t>
  </si>
  <si>
    <t xml:space="preserve">Local Conveyance Receipt</t>
  </si>
  <si>
    <t xml:space="preserve">Training Receipt</t>
  </si>
  <si>
    <t xml:space="preserve">Work Permits &amp; Visa Receipt</t>
  </si>
  <si>
    <t xml:space="preserve">Miscellaneous Receipt</t>
  </si>
  <si>
    <t xml:space="preserve">HDFC Bank</t>
  </si>
  <si>
    <t xml:space="preserve">Cash</t>
  </si>
  <si>
    <t xml:space="preserve">Foreign DOA</t>
  </si>
  <si>
    <t xml:space="preserve">INR will be returned to Finance</t>
  </si>
  <si>
    <t xml:space="preserve">Per Diem</t>
  </si>
  <si>
    <t xml:space="preserve">Packers &amp; Movers</t>
  </si>
  <si>
    <t xml:space="preserve">Per Diem - Spouse / Family</t>
  </si>
  <si>
    <t xml:space="preserve">Client Entertainment</t>
  </si>
  <si>
    <t xml:space="preserve">Accommodation</t>
  </si>
  <si>
    <t xml:space="preserve">Pune</t>
  </si>
  <si>
    <t xml:space="preserve">Axis Bank</t>
  </si>
  <si>
    <t xml:space="preserve">Travel Card</t>
  </si>
  <si>
    <t xml:space="preserve">USD U.S. DOLLAR</t>
  </si>
  <si>
    <t xml:space="preserve">Foreign Hotel Costs</t>
  </si>
  <si>
    <t xml:space="preserve">Hotel Costs</t>
  </si>
  <si>
    <t xml:space="preserve">Per Diem - Self</t>
  </si>
  <si>
    <t xml:space="preserve">Personal Credit / Debit Card</t>
  </si>
  <si>
    <t xml:space="preserve">Dept. - Staff Welfare</t>
  </si>
  <si>
    <t xml:space="preserve">Car / Taxi / Train Fare</t>
  </si>
  <si>
    <t xml:space="preserve">Hyderabad</t>
  </si>
  <si>
    <t xml:space="preserve">GBP POUND STERLING</t>
  </si>
  <si>
    <t xml:space="preserve">Travel</t>
  </si>
  <si>
    <t xml:space="preserve">School Fees</t>
  </si>
  <si>
    <t xml:space="preserve">Other than Corporate Card</t>
  </si>
  <si>
    <t xml:space="preserve">External Courses</t>
  </si>
  <si>
    <t xml:space="preserve">Food expenses</t>
  </si>
  <si>
    <t xml:space="preserve">HKD HONGKONG DOLLAR</t>
  </si>
  <si>
    <t xml:space="preserve">Long Distance Calls</t>
  </si>
  <si>
    <t xml:space="preserve">Miscellaneous</t>
  </si>
  <si>
    <t xml:space="preserve">Brokerage</t>
  </si>
  <si>
    <t xml:space="preserve">Local Conveyance</t>
  </si>
  <si>
    <t xml:space="preserve">EUR EURO</t>
  </si>
  <si>
    <t xml:space="preserve">Cash loading fees</t>
  </si>
  <si>
    <t xml:space="preserve">Training - Others</t>
  </si>
  <si>
    <t xml:space="preserve">CAD CANADIAN DOLLAR</t>
  </si>
  <si>
    <t xml:space="preserve">Work Permits &amp; Visas</t>
  </si>
  <si>
    <t xml:space="preserve">AED UAE DIRHAM</t>
  </si>
  <si>
    <t xml:space="preserve">Other</t>
  </si>
  <si>
    <t xml:space="preserve">AUD AUSTRALIAN DOLLAR</t>
  </si>
  <si>
    <t xml:space="preserve">BHD BAHRAINI DINAR</t>
  </si>
  <si>
    <t xml:space="preserve">CHF SWISS FRANC</t>
  </si>
  <si>
    <t xml:space="preserve">CNY CHINESE YUAN</t>
  </si>
  <si>
    <t xml:space="preserve">DKK DANISH KRONER</t>
  </si>
  <si>
    <t xml:space="preserve">JPY JAPANESE YEN</t>
  </si>
  <si>
    <t xml:space="preserve">KWD KUWAITI DINAR</t>
  </si>
  <si>
    <t xml:space="preserve">MYR MALAYSIAN RINGGIT</t>
  </si>
  <si>
    <t xml:space="preserve">OMR OMANI RIYAL</t>
  </si>
  <si>
    <t xml:space="preserve">PHP PHILIPPINE PESO</t>
  </si>
  <si>
    <t xml:space="preserve">QAR QATARI RIYAL</t>
  </si>
  <si>
    <t xml:space="preserve">SAR SAUDI RIYAL</t>
  </si>
  <si>
    <t xml:space="preserve">SGD SINGAPORE DOLLAR</t>
  </si>
  <si>
    <t xml:space="preserve">Others</t>
  </si>
  <si>
    <t xml:space="preserve">GL Description</t>
  </si>
  <si>
    <t xml:space="preserve">GL Code</t>
  </si>
  <si>
    <t xml:space="preserve">Type</t>
  </si>
  <si>
    <t xml:space="preserve">Car Hire Costs - Local</t>
  </si>
  <si>
    <t xml:space="preserve">Domestic Travel</t>
  </si>
  <si>
    <t xml:space="preserve"> FOREIGN TRAVEL-OTHER</t>
  </si>
  <si>
    <t xml:space="preserve">Overseas Claim</t>
  </si>
  <si>
    <t xml:space="preserve">DOMESTIC AIR TRAVEL</t>
  </si>
  <si>
    <t xml:space="preserve">Car Hire Costs - Overseas</t>
  </si>
  <si>
    <t xml:space="preserve">Type of Expense</t>
  </si>
  <si>
    <t xml:space="preserve">GL Code ?</t>
  </si>
  <si>
    <t xml:space="preserve">FOREIGN AIR TRAVEL</t>
  </si>
  <si>
    <t xml:space="preserve">Overseas</t>
  </si>
  <si>
    <t xml:space="preserve">Breakfast</t>
  </si>
  <si>
    <t xml:space="preserve">DOMESTIC TRAVEL-OTHER</t>
  </si>
  <si>
    <t xml:space="preserve">Laundry</t>
  </si>
  <si>
    <t xml:space="preserve">Domestic</t>
  </si>
  <si>
    <t xml:space="preserve">Employee Claim</t>
  </si>
  <si>
    <t xml:space="preserve">Account Description</t>
  </si>
  <si>
    <t xml:space="preserve">Employee claim Reimbursment</t>
  </si>
  <si>
    <t xml:space="preserve">Corporate Card</t>
  </si>
  <si>
    <t xml:space="preserve">Department - Staff Welfare</t>
  </si>
</sst>
</file>

<file path=xl/styles.xml><?xml version="1.0" encoding="utf-8"?>
<styleSheet xmlns="http://schemas.openxmlformats.org/spreadsheetml/2006/main">
  <numFmts count="4">
    <numFmt numFmtId="164" formatCode="General"/>
    <numFmt numFmtId="165" formatCode="D\-MMM\-YY;@"/>
    <numFmt numFmtId="166" formatCode="@"/>
    <numFmt numFmtId="167" formatCode="DD/MM/YYYY"/>
  </numFmts>
  <fonts count="29">
    <font>
      <sz val="11"/>
      <color rgb="FF000000"/>
      <name val="Calibri"/>
      <family val="2"/>
      <charset val="1"/>
    </font>
    <font>
      <sz val="10"/>
      <name val="Arial"/>
      <family val="0"/>
    </font>
    <font>
      <sz val="10"/>
      <name val="Arial"/>
      <family val="0"/>
    </font>
    <font>
      <sz val="10"/>
      <name val="Arial"/>
      <family val="0"/>
    </font>
    <font>
      <b val="true"/>
      <i val="true"/>
      <u val="single"/>
      <sz val="11"/>
      <color rgb="FF000000"/>
      <name val="Calibri"/>
      <family val="2"/>
      <charset val="1"/>
    </font>
    <font>
      <i val="true"/>
      <sz val="11"/>
      <color rgb="FF000000"/>
      <name val="Calibri"/>
      <family val="2"/>
      <charset val="1"/>
    </font>
    <font>
      <b val="true"/>
      <i val="true"/>
      <u val="single"/>
      <sz val="11"/>
      <color rgb="FFFF0000"/>
      <name val="Calibri"/>
      <family val="2"/>
      <charset val="1"/>
    </font>
    <font>
      <sz val="12"/>
      <color rgb="FFFFFFFF"/>
      <name val="Calibri"/>
      <family val="2"/>
    </font>
    <font>
      <sz val="16"/>
      <color rgb="FFFFFFFF"/>
      <name val="Calibri"/>
      <family val="2"/>
      <charset val="1"/>
    </font>
    <font>
      <b val="true"/>
      <sz val="12"/>
      <color rgb="FF000000"/>
      <name val="Times New Roman"/>
      <family val="1"/>
      <charset val="1"/>
    </font>
    <font>
      <sz val="9"/>
      <color rgb="FF000000"/>
      <name val="Times New Roman"/>
      <family val="1"/>
      <charset val="1"/>
    </font>
    <font>
      <b val="true"/>
      <sz val="9"/>
      <color rgb="FF000000"/>
      <name val="Times New Roman"/>
      <family val="1"/>
      <charset val="1"/>
    </font>
    <font>
      <i val="true"/>
      <sz val="8"/>
      <color rgb="FF000000"/>
      <name val="Times New Roman"/>
      <family val="1"/>
      <charset val="1"/>
    </font>
    <font>
      <sz val="10"/>
      <color rgb="FF000000"/>
      <name val="Times New Roman"/>
      <family val="1"/>
      <charset val="1"/>
    </font>
    <font>
      <sz val="10"/>
      <name val="Arial"/>
      <family val="2"/>
      <charset val="1"/>
    </font>
    <font>
      <b val="true"/>
      <sz val="10"/>
      <name val="Calibri"/>
      <family val="2"/>
      <charset val="1"/>
    </font>
    <font>
      <b val="true"/>
      <sz val="10"/>
      <color rgb="FF000000"/>
      <name val="Calibri"/>
      <family val="2"/>
      <charset val="1"/>
    </font>
    <font>
      <sz val="11"/>
      <name val="Calibri"/>
      <family val="2"/>
      <charset val="1"/>
    </font>
    <font>
      <i val="true"/>
      <sz val="6"/>
      <color rgb="FF000000"/>
      <name val="Times New Roman"/>
      <family val="1"/>
      <charset val="1"/>
    </font>
    <font>
      <b val="true"/>
      <sz val="6"/>
      <color rgb="FF000000"/>
      <name val="Times New Roman"/>
      <family val="1"/>
      <charset val="1"/>
    </font>
    <font>
      <b val="true"/>
      <i val="true"/>
      <sz val="8"/>
      <color rgb="FF000000"/>
      <name val="Times New Roman"/>
      <family val="1"/>
      <charset val="1"/>
    </font>
    <font>
      <b val="true"/>
      <sz val="10"/>
      <color rgb="FF000000"/>
      <name val="Times New Roman"/>
      <family val="1"/>
      <charset val="1"/>
    </font>
    <font>
      <b val="true"/>
      <sz val="12"/>
      <color rgb="FFFF0000"/>
      <name val="Times New Roman"/>
      <family val="1"/>
    </font>
    <font>
      <sz val="12"/>
      <color rgb="FF000000"/>
      <name val="Times New Roman"/>
      <family val="1"/>
    </font>
    <font>
      <b val="true"/>
      <sz val="14"/>
      <color rgb="FF000000"/>
      <name val="Times New Roman"/>
      <family val="1"/>
      <charset val="1"/>
    </font>
    <font>
      <b val="true"/>
      <sz val="11"/>
      <color rgb="FFFFFFFF"/>
      <name val="Calibri"/>
      <family val="2"/>
    </font>
    <font>
      <b val="true"/>
      <i val="true"/>
      <u val="single"/>
      <sz val="8"/>
      <color rgb="FF000000"/>
      <name val="Times New Roman"/>
      <family val="1"/>
      <charset val="1"/>
    </font>
    <font>
      <sz val="11"/>
      <color rgb="FF000000"/>
      <name val="Times New Roman"/>
      <family val="1"/>
      <charset val="1"/>
    </font>
    <font>
      <sz val="11"/>
      <color rgb="FFFFFFFF"/>
      <name val="Calibri"/>
      <family val="2"/>
      <charset val="1"/>
    </font>
  </fonts>
  <fills count="11">
    <fill>
      <patternFill patternType="none"/>
    </fill>
    <fill>
      <patternFill patternType="gray125"/>
    </fill>
    <fill>
      <patternFill patternType="solid">
        <fgColor rgb="FFE7E6E6"/>
        <bgColor rgb="FFDEEBF7"/>
      </patternFill>
    </fill>
    <fill>
      <patternFill patternType="solid">
        <fgColor rgb="FF000000"/>
        <bgColor rgb="FF003300"/>
      </patternFill>
    </fill>
    <fill>
      <patternFill patternType="solid">
        <fgColor rgb="FFFFF2CC"/>
        <bgColor rgb="FFFBE5D6"/>
      </patternFill>
    </fill>
    <fill>
      <patternFill patternType="solid">
        <fgColor rgb="FFFBE5D6"/>
        <bgColor rgb="FFFFF2CC"/>
      </patternFill>
    </fill>
    <fill>
      <patternFill patternType="solid">
        <fgColor rgb="FFDEEBF7"/>
        <bgColor rgb="FFE7E6E6"/>
      </patternFill>
    </fill>
    <fill>
      <patternFill patternType="solid">
        <fgColor rgb="FFFFFFFF"/>
        <bgColor rgb="FFFFF2CC"/>
      </patternFill>
    </fill>
    <fill>
      <patternFill patternType="solid">
        <fgColor rgb="FFE2F0D9"/>
        <bgColor rgb="FFE7E6E6"/>
      </patternFill>
    </fill>
    <fill>
      <patternFill patternType="solid">
        <fgColor rgb="FFFFFF00"/>
        <bgColor rgb="FFFFFF00"/>
      </patternFill>
    </fill>
    <fill>
      <patternFill patternType="solid">
        <fgColor rgb="FF002060"/>
        <bgColor rgb="FF000080"/>
      </patternFill>
    </fill>
  </fills>
  <borders count="27">
    <border diagonalUp="false" diagonalDown="false">
      <left/>
      <right/>
      <top/>
      <bottom/>
      <diagonal/>
    </border>
    <border diagonalUp="false" diagonalDown="false">
      <left style="medium"/>
      <right style="thin"/>
      <top style="medium"/>
      <bottom style="medium"/>
      <diagonal/>
    </border>
    <border diagonalUp="false" diagonalDown="false">
      <left style="thin"/>
      <right/>
      <top style="medium"/>
      <bottom/>
      <diagonal/>
    </border>
    <border diagonalUp="false" diagonalDown="false">
      <left/>
      <right/>
      <top style="medium"/>
      <bottom/>
      <diagonal/>
    </border>
    <border diagonalUp="false" diagonalDown="false">
      <left/>
      <right style="medium"/>
      <top style="medium"/>
      <bottom/>
      <diagonal/>
    </border>
    <border diagonalUp="false" diagonalDown="false">
      <left style="thin"/>
      <right/>
      <top/>
      <bottom/>
      <diagonal/>
    </border>
    <border diagonalUp="false" diagonalDown="false">
      <left/>
      <right style="medium"/>
      <top/>
      <bottom/>
      <diagonal/>
    </border>
    <border diagonalUp="false" diagonalDown="false">
      <left style="thin"/>
      <right/>
      <top/>
      <bottom style="medium"/>
      <diagonal/>
    </border>
    <border diagonalUp="false" diagonalDown="false">
      <left/>
      <right/>
      <top/>
      <bottom style="medium"/>
      <diagonal/>
    </border>
    <border diagonalUp="false" diagonalDown="false">
      <left/>
      <right style="medium"/>
      <top/>
      <bottom style="medium"/>
      <diagonal/>
    </border>
    <border diagonalUp="false" diagonalDown="false">
      <left style="medium"/>
      <right/>
      <top style="medium"/>
      <bottom/>
      <diagonal/>
    </border>
    <border diagonalUp="false" diagonalDown="false">
      <left style="medium"/>
      <right/>
      <top/>
      <bottom/>
      <diagonal/>
    </border>
    <border diagonalUp="false" diagonalDown="false">
      <left style="medium"/>
      <right style="medium"/>
      <top style="medium"/>
      <bottom style="medium"/>
      <diagonal/>
    </border>
    <border diagonalUp="false" diagonalDown="false">
      <left style="medium"/>
      <right style="medium"/>
      <top style="medium"/>
      <bottom/>
      <diagonal/>
    </border>
    <border diagonalUp="false" diagonalDown="false">
      <left style="medium"/>
      <right/>
      <top style="thin"/>
      <bottom/>
      <diagonal/>
    </border>
    <border diagonalUp="false" diagonalDown="false">
      <left/>
      <right/>
      <top style="thin"/>
      <bottom/>
      <diagonal/>
    </border>
    <border diagonalUp="false" diagonalDown="false">
      <left/>
      <right style="medium"/>
      <top style="thin"/>
      <bottom/>
      <diagonal/>
    </border>
    <border diagonalUp="false" diagonalDown="false">
      <left style="medium"/>
      <right/>
      <top/>
      <bottom style="thin"/>
      <diagonal/>
    </border>
    <border diagonalUp="false" diagonalDown="false">
      <left/>
      <right/>
      <top/>
      <bottom style="thin"/>
      <diagonal/>
    </border>
    <border diagonalUp="false" diagonalDown="false">
      <left/>
      <right style="medium"/>
      <top/>
      <bottom style="thin"/>
      <diagonal/>
    </border>
    <border diagonalUp="false" diagonalDown="false">
      <left style="thin"/>
      <right style="thin"/>
      <top style="thin"/>
      <bottom style="thin"/>
      <diagonal/>
    </border>
    <border diagonalUp="false" diagonalDown="false">
      <left/>
      <right style="thin"/>
      <top/>
      <bottom/>
      <diagonal/>
    </border>
    <border diagonalUp="false" diagonalDown="false">
      <left style="medium"/>
      <right/>
      <top/>
      <bottom style="medium"/>
      <diagonal/>
    </border>
    <border diagonalUp="false" diagonalDown="false">
      <left style="thin"/>
      <right/>
      <top style="thin"/>
      <bottom style="thin"/>
      <diagonal/>
    </border>
    <border diagonalUp="false" diagonalDown="false">
      <left style="thin"/>
      <right style="thin"/>
      <top style="thin"/>
      <bottom/>
      <diagonal/>
    </border>
    <border diagonalUp="false" diagonalDown="false">
      <left/>
      <right style="thin"/>
      <top style="thin"/>
      <bottom style="thin"/>
      <diagonal/>
    </border>
    <border diagonalUp="false" diagonalDown="false">
      <left style="medium"/>
      <right style="medium"/>
      <top/>
      <bottom style="medium"/>
      <diagonal/>
    </border>
  </borders>
  <cellStyleXfs count="2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14" fillId="0" borderId="0" applyFont="true" applyBorder="true" applyAlignment="true" applyProtection="true">
      <alignment horizontal="general" vertical="bottom" textRotation="0" wrapText="false" indent="0" shrinkToFit="false"/>
      <protection locked="true" hidden="false"/>
    </xf>
  </cellStyleXfs>
  <cellXfs count="148">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2" borderId="1" xfId="0" applyFont="true" applyBorder="true" applyAlignment="true" applyProtection="false">
      <alignment horizontal="center" vertical="center" textRotation="0" wrapText="true" indent="0" shrinkToFit="false"/>
      <protection locked="true" hidden="false"/>
    </xf>
    <xf numFmtId="164" fontId="0" fillId="2" borderId="2" xfId="0" applyFont="false" applyBorder="true" applyAlignment="false" applyProtection="false">
      <alignment horizontal="general" vertical="bottom" textRotation="0" wrapText="false" indent="0" shrinkToFit="false"/>
      <protection locked="true" hidden="false"/>
    </xf>
    <xf numFmtId="164" fontId="0" fillId="2" borderId="3" xfId="0" applyFont="false" applyBorder="true" applyAlignment="false" applyProtection="false">
      <alignment horizontal="general" vertical="bottom" textRotation="0" wrapText="false" indent="0" shrinkToFit="false"/>
      <protection locked="true" hidden="false"/>
    </xf>
    <xf numFmtId="164" fontId="0" fillId="2" borderId="4" xfId="0" applyFont="false" applyBorder="true" applyAlignment="false" applyProtection="false">
      <alignment horizontal="general" vertical="bottom" textRotation="0" wrapText="false" indent="0" shrinkToFit="false"/>
      <protection locked="true" hidden="false"/>
    </xf>
    <xf numFmtId="164" fontId="0" fillId="2" borderId="5" xfId="0" applyFont="false" applyBorder="true" applyAlignment="false" applyProtection="false">
      <alignment horizontal="general" vertical="bottom" textRotation="0" wrapText="false" indent="0" shrinkToFit="false"/>
      <protection locked="true" hidden="false"/>
    </xf>
    <xf numFmtId="164" fontId="0" fillId="2" borderId="0" xfId="0" applyFont="false" applyBorder="true" applyAlignment="false" applyProtection="false">
      <alignment horizontal="general" vertical="bottom" textRotation="0" wrapText="false" indent="0" shrinkToFit="false"/>
      <protection locked="true" hidden="false"/>
    </xf>
    <xf numFmtId="164" fontId="0" fillId="2" borderId="6" xfId="0" applyFont="false" applyBorder="true" applyAlignment="false" applyProtection="false">
      <alignment horizontal="general" vertical="bottom" textRotation="0" wrapText="false" indent="0" shrinkToFit="false"/>
      <protection locked="true" hidden="false"/>
    </xf>
    <xf numFmtId="164" fontId="0" fillId="2" borderId="7" xfId="0" applyFont="false" applyBorder="true" applyAlignment="false" applyProtection="false">
      <alignment horizontal="general" vertical="bottom" textRotation="0" wrapText="false" indent="0" shrinkToFit="false"/>
      <protection locked="true" hidden="false"/>
    </xf>
    <xf numFmtId="164" fontId="0" fillId="2" borderId="8" xfId="0" applyFont="false" applyBorder="true" applyAlignment="false" applyProtection="false">
      <alignment horizontal="general" vertical="bottom" textRotation="0" wrapText="false" indent="0" shrinkToFit="false"/>
      <protection locked="true" hidden="false"/>
    </xf>
    <xf numFmtId="164" fontId="0" fillId="2" borderId="9" xfId="0" applyFont="false" applyBorder="true" applyAlignment="false" applyProtection="false">
      <alignment horizontal="general" vertical="bottom" textRotation="0" wrapText="false" indent="0" shrinkToFit="false"/>
      <protection locked="true" hidden="false"/>
    </xf>
    <xf numFmtId="164" fontId="0" fillId="0" borderId="0" xfId="0" applyFont="false" applyBorder="true" applyAlignment="false" applyProtection="false">
      <alignment horizontal="general" vertical="bottom" textRotation="0" wrapText="false" indent="0" shrinkToFit="false"/>
      <protection locked="true" hidden="false"/>
    </xf>
    <xf numFmtId="164" fontId="4" fillId="0" borderId="0" xfId="0" applyFont="true" applyBorder="false" applyAlignment="false" applyProtection="false">
      <alignment horizontal="general" vertical="bottom" textRotation="0" wrapText="false" indent="0" shrinkToFit="false"/>
      <protection locked="true" hidden="false"/>
    </xf>
    <xf numFmtId="164" fontId="5" fillId="0" borderId="0" xfId="0" applyFont="true" applyBorder="false" applyAlignment="false" applyProtection="false">
      <alignment horizontal="general" vertical="bottom" textRotation="0" wrapText="false" indent="0" shrinkToFit="false"/>
      <protection locked="true" hidden="false"/>
    </xf>
    <xf numFmtId="164" fontId="6" fillId="0" borderId="0" xfId="0" applyFont="true" applyBorder="false" applyAlignment="false" applyProtection="false">
      <alignment horizontal="general" vertical="bottom" textRotation="0" wrapText="false" indent="0" shrinkToFit="false"/>
      <protection locked="true" hidden="false"/>
    </xf>
    <xf numFmtId="164" fontId="0" fillId="0" borderId="10" xfId="0" applyFont="false" applyBorder="true" applyAlignment="false" applyProtection="false">
      <alignment horizontal="general" vertical="bottom" textRotation="0" wrapText="false" indent="0" shrinkToFit="false"/>
      <protection locked="true" hidden="false"/>
    </xf>
    <xf numFmtId="164" fontId="0" fillId="0" borderId="3" xfId="0" applyFont="false" applyBorder="true" applyAlignment="false" applyProtection="false">
      <alignment horizontal="general" vertical="bottom" textRotation="0" wrapText="false" indent="0" shrinkToFit="false"/>
      <protection locked="true" hidden="false"/>
    </xf>
    <xf numFmtId="164" fontId="8" fillId="3" borderId="4" xfId="0" applyFont="true" applyBorder="true" applyAlignment="true" applyProtection="false">
      <alignment horizontal="center" vertical="center" textRotation="0" wrapText="false" indent="0" shrinkToFit="false"/>
      <protection locked="true" hidden="false"/>
    </xf>
    <xf numFmtId="164" fontId="0" fillId="0" borderId="11" xfId="0" applyFont="false" applyBorder="true" applyAlignment="false" applyProtection="false">
      <alignment horizontal="general" vertical="bottom" textRotation="0" wrapText="false" indent="0" shrinkToFit="false"/>
      <protection locked="true" hidden="false"/>
    </xf>
    <xf numFmtId="164" fontId="9" fillId="0" borderId="0" xfId="0" applyFont="true" applyBorder="true" applyAlignment="true" applyProtection="false">
      <alignment horizontal="center" vertical="bottom" textRotation="0" wrapText="false" indent="0" shrinkToFit="false"/>
      <protection locked="true" hidden="false"/>
    </xf>
    <xf numFmtId="164" fontId="10" fillId="0" borderId="0" xfId="0" applyFont="true" applyBorder="true" applyAlignment="false" applyProtection="false">
      <alignment horizontal="general" vertical="bottom" textRotation="0" wrapText="false" indent="0" shrinkToFit="false"/>
      <protection locked="true" hidden="false"/>
    </xf>
    <xf numFmtId="164" fontId="0" fillId="0" borderId="6" xfId="0" applyFont="false" applyBorder="true" applyAlignment="false" applyProtection="false">
      <alignment horizontal="general" vertical="bottom" textRotation="0" wrapText="false" indent="0" shrinkToFit="false"/>
      <protection locked="true" hidden="false"/>
    </xf>
    <xf numFmtId="165" fontId="10" fillId="0" borderId="12" xfId="0" applyFont="true" applyBorder="true" applyAlignment="false" applyProtection="true">
      <alignment horizontal="general" vertical="bottom" textRotation="0" wrapText="false" indent="0" shrinkToFit="false"/>
      <protection locked="false" hidden="false"/>
    </xf>
    <xf numFmtId="164" fontId="10" fillId="0" borderId="0" xfId="0" applyFont="true" applyBorder="true" applyAlignment="true" applyProtection="false">
      <alignment horizontal="left" vertical="bottom" textRotation="0" wrapText="false" indent="0" shrinkToFit="false"/>
      <protection locked="true" hidden="false"/>
    </xf>
    <xf numFmtId="164" fontId="10" fillId="0" borderId="12" xfId="0" applyFont="true" applyBorder="true" applyAlignment="true" applyProtection="true">
      <alignment horizontal="center" vertical="bottom" textRotation="0" wrapText="false" indent="0" shrinkToFit="false"/>
      <protection locked="false" hidden="false"/>
    </xf>
    <xf numFmtId="164" fontId="10" fillId="0" borderId="0" xfId="0" applyFont="true" applyBorder="true" applyAlignment="true" applyProtection="false">
      <alignment horizontal="justify" vertical="center" textRotation="0" wrapText="false" indent="0" shrinkToFit="false"/>
      <protection locked="true" hidden="false"/>
    </xf>
    <xf numFmtId="164" fontId="10" fillId="0" borderId="13" xfId="0" applyFont="true" applyBorder="true" applyAlignment="true" applyProtection="true">
      <alignment horizontal="center" vertical="bottom" textRotation="0" wrapText="false" indent="0" shrinkToFit="false"/>
      <protection locked="false" hidden="false"/>
    </xf>
    <xf numFmtId="164" fontId="10" fillId="0" borderId="0" xfId="0" applyFont="true" applyBorder="true" applyAlignment="true" applyProtection="false">
      <alignment horizontal="left" vertical="center" textRotation="0" wrapText="false" indent="0" shrinkToFit="false"/>
      <protection locked="true" hidden="false"/>
    </xf>
    <xf numFmtId="164" fontId="10" fillId="0" borderId="12" xfId="0" applyFont="true" applyBorder="true" applyAlignment="true" applyProtection="true">
      <alignment horizontal="center" vertical="center" textRotation="0" wrapText="false" indent="0" shrinkToFit="false"/>
      <protection locked="false" hidden="false"/>
    </xf>
    <xf numFmtId="164" fontId="10" fillId="0" borderId="0" xfId="0" applyFont="true" applyBorder="true" applyAlignment="true" applyProtection="false">
      <alignment horizontal="general" vertical="bottom" textRotation="0" wrapText="true" indent="0" shrinkToFit="false"/>
      <protection locked="true" hidden="false"/>
    </xf>
    <xf numFmtId="164" fontId="0" fillId="0" borderId="0" xfId="0" applyFont="false" applyBorder="true" applyAlignment="true" applyProtection="false">
      <alignment horizontal="center" vertical="bottom" textRotation="0" wrapText="false" indent="0" shrinkToFit="false"/>
      <protection locked="true" hidden="false"/>
    </xf>
    <xf numFmtId="164" fontId="0" fillId="0" borderId="14" xfId="0" applyFont="false" applyBorder="true" applyAlignment="false" applyProtection="false">
      <alignment horizontal="general" vertical="bottom" textRotation="0" wrapText="false" indent="0" shrinkToFit="false"/>
      <protection locked="true" hidden="false"/>
    </xf>
    <xf numFmtId="164" fontId="10" fillId="0" borderId="15" xfId="0" applyFont="true" applyBorder="true" applyAlignment="false" applyProtection="false">
      <alignment horizontal="general" vertical="bottom" textRotation="0" wrapText="false" indent="0" shrinkToFit="false"/>
      <protection locked="true" hidden="false"/>
    </xf>
    <xf numFmtId="164" fontId="10" fillId="0" borderId="15" xfId="0" applyFont="true" applyBorder="true" applyAlignment="true" applyProtection="false">
      <alignment horizontal="center" vertical="bottom" textRotation="0" wrapText="false" indent="0" shrinkToFit="false"/>
      <protection locked="true" hidden="false"/>
    </xf>
    <xf numFmtId="164" fontId="0" fillId="0" borderId="16" xfId="0" applyFont="false" applyBorder="true" applyAlignment="false" applyProtection="false">
      <alignment horizontal="general" vertical="bottom" textRotation="0" wrapText="false" indent="0" shrinkToFit="false"/>
      <protection locked="true" hidden="false"/>
    </xf>
    <xf numFmtId="164" fontId="11" fillId="0" borderId="6" xfId="0" applyFont="true" applyBorder="true" applyAlignment="true" applyProtection="false">
      <alignment horizontal="left" vertical="bottom" textRotation="0" wrapText="false" indent="0" shrinkToFit="false"/>
      <protection locked="true" hidden="false"/>
    </xf>
    <xf numFmtId="164" fontId="11" fillId="0" borderId="0" xfId="0" applyFont="true" applyBorder="true" applyAlignment="false" applyProtection="false">
      <alignment horizontal="general" vertical="bottom" textRotation="0" wrapText="false" indent="0" shrinkToFit="false"/>
      <protection locked="true" hidden="false"/>
    </xf>
    <xf numFmtId="166" fontId="10" fillId="0" borderId="12" xfId="0" applyFont="true" applyBorder="true" applyAlignment="true" applyProtection="true">
      <alignment horizontal="center" vertical="bottom" textRotation="0" wrapText="false" indent="0" shrinkToFit="false"/>
      <protection locked="false" hidden="false"/>
    </xf>
    <xf numFmtId="164" fontId="0" fillId="0" borderId="6" xfId="0" applyFont="false" applyBorder="true" applyAlignment="true" applyProtection="false">
      <alignment horizontal="left" vertical="bottom" textRotation="0" wrapText="false" indent="0" shrinkToFit="false"/>
      <protection locked="true" hidden="false"/>
    </xf>
    <xf numFmtId="164" fontId="0" fillId="0" borderId="17" xfId="0" applyFont="false" applyBorder="true" applyAlignment="false" applyProtection="false">
      <alignment horizontal="general" vertical="bottom" textRotation="0" wrapText="false" indent="0" shrinkToFit="false"/>
      <protection locked="true" hidden="false"/>
    </xf>
    <xf numFmtId="164" fontId="11" fillId="0" borderId="18" xfId="0" applyFont="true" applyBorder="true" applyAlignment="false" applyProtection="false">
      <alignment horizontal="general" vertical="bottom" textRotation="0" wrapText="false" indent="0" shrinkToFit="false"/>
      <protection locked="true" hidden="false"/>
    </xf>
    <xf numFmtId="164" fontId="10" fillId="0" borderId="18" xfId="0" applyFont="true" applyBorder="true" applyAlignment="false" applyProtection="false">
      <alignment horizontal="general" vertical="bottom" textRotation="0" wrapText="false" indent="0" shrinkToFit="false"/>
      <protection locked="true" hidden="false"/>
    </xf>
    <xf numFmtId="164" fontId="10" fillId="0" borderId="18" xfId="0" applyFont="true" applyBorder="true" applyAlignment="true" applyProtection="false">
      <alignment horizontal="center" vertical="bottom" textRotation="0" wrapText="false" indent="0" shrinkToFit="false"/>
      <protection locked="true" hidden="false"/>
    </xf>
    <xf numFmtId="164" fontId="10" fillId="0" borderId="18" xfId="0" applyFont="true" applyBorder="true" applyAlignment="true" applyProtection="false">
      <alignment horizontal="left" vertical="bottom" textRotation="0" wrapText="false" indent="0" shrinkToFit="false"/>
      <protection locked="true" hidden="false"/>
    </xf>
    <xf numFmtId="164" fontId="0" fillId="0" borderId="19" xfId="0" applyFont="false" applyBorder="true" applyAlignment="true" applyProtection="false">
      <alignment horizontal="left" vertical="bottom" textRotation="0" wrapText="false" indent="0" shrinkToFit="false"/>
      <protection locked="true" hidden="false"/>
    </xf>
    <xf numFmtId="164" fontId="0" fillId="0" borderId="0" xfId="0" applyFont="false" applyBorder="true" applyAlignment="true" applyProtection="false">
      <alignment horizontal="left" vertical="bottom" textRotation="0" wrapText="false" indent="0" shrinkToFit="false"/>
      <protection locked="true" hidden="false"/>
    </xf>
    <xf numFmtId="164" fontId="12" fillId="0" borderId="0" xfId="0" applyFont="true" applyBorder="true" applyAlignment="true" applyProtection="false">
      <alignment horizontal="left" vertical="center" textRotation="0" wrapText="false" indent="0" shrinkToFit="false"/>
      <protection locked="true" hidden="false"/>
    </xf>
    <xf numFmtId="164" fontId="12" fillId="0" borderId="6" xfId="0" applyFont="true" applyBorder="true" applyAlignment="true" applyProtection="false">
      <alignment horizontal="left" vertical="center" textRotation="0" wrapText="false" indent="0" shrinkToFit="false"/>
      <protection locked="true" hidden="false"/>
    </xf>
    <xf numFmtId="164" fontId="13" fillId="0" borderId="0" xfId="0" applyFont="true" applyBorder="true" applyAlignment="true" applyProtection="false">
      <alignment horizontal="left" vertical="center" textRotation="0" wrapText="false" indent="0" shrinkToFit="false"/>
      <protection locked="true" hidden="false"/>
    </xf>
    <xf numFmtId="164" fontId="11" fillId="4" borderId="20" xfId="0" applyFont="true" applyBorder="true" applyAlignment="true" applyProtection="false">
      <alignment horizontal="center" vertical="bottom" textRotation="0" wrapText="false" indent="0" shrinkToFit="false"/>
      <protection locked="true" hidden="false"/>
    </xf>
    <xf numFmtId="167" fontId="10" fillId="4" borderId="20" xfId="0" applyFont="true" applyBorder="true" applyAlignment="true" applyProtection="true">
      <alignment horizontal="center" vertical="bottom" textRotation="0" wrapText="false" indent="0" shrinkToFit="false"/>
      <protection locked="false" hidden="false"/>
    </xf>
    <xf numFmtId="164" fontId="10" fillId="4" borderId="20" xfId="0" applyFont="true" applyBorder="true" applyAlignment="false" applyProtection="true">
      <alignment horizontal="general" vertical="bottom" textRotation="0" wrapText="false" indent="0" shrinkToFit="false"/>
      <protection locked="false" hidden="false"/>
    </xf>
    <xf numFmtId="164" fontId="11" fillId="0" borderId="0" xfId="0" applyFont="true" applyBorder="true" applyAlignment="true" applyProtection="false">
      <alignment horizontal="left" vertical="bottom" textRotation="0" wrapText="false" indent="0" shrinkToFit="false"/>
      <protection locked="true" hidden="false"/>
    </xf>
    <xf numFmtId="164" fontId="11" fillId="5" borderId="20" xfId="0" applyFont="true" applyBorder="true" applyAlignment="true" applyProtection="false">
      <alignment horizontal="center" vertical="bottom" textRotation="0" wrapText="false" indent="0" shrinkToFit="false"/>
      <protection locked="true" hidden="false"/>
    </xf>
    <xf numFmtId="164" fontId="10" fillId="5" borderId="20" xfId="0" applyFont="true" applyBorder="true" applyAlignment="true" applyProtection="true">
      <alignment horizontal="center" vertical="bottom" textRotation="0" wrapText="false" indent="0" shrinkToFit="false"/>
      <protection locked="false" hidden="false"/>
    </xf>
    <xf numFmtId="164" fontId="10" fillId="5" borderId="20" xfId="0" applyFont="true" applyBorder="true" applyAlignment="false" applyProtection="true">
      <alignment horizontal="general" vertical="bottom" textRotation="0" wrapText="false" indent="0" shrinkToFit="false"/>
      <protection locked="false" hidden="false"/>
    </xf>
    <xf numFmtId="164" fontId="11" fillId="0" borderId="0" xfId="0" applyFont="true" applyBorder="true" applyAlignment="true" applyProtection="false">
      <alignment horizontal="center" vertical="bottom" textRotation="0" wrapText="false" indent="0" shrinkToFit="false"/>
      <protection locked="true" hidden="false"/>
    </xf>
    <xf numFmtId="164" fontId="11" fillId="0" borderId="15" xfId="0" applyFont="true" applyBorder="true" applyAlignment="false" applyProtection="false">
      <alignment horizontal="general" vertical="bottom" textRotation="0" wrapText="false" indent="0" shrinkToFit="false"/>
      <protection locked="true" hidden="false"/>
    </xf>
    <xf numFmtId="164" fontId="11" fillId="0" borderId="15" xfId="0" applyFont="true" applyBorder="true" applyAlignment="true" applyProtection="false">
      <alignment horizontal="center" vertical="bottom" textRotation="0" wrapText="false" indent="0" shrinkToFit="false"/>
      <protection locked="true" hidden="false"/>
    </xf>
    <xf numFmtId="164" fontId="11" fillId="6" borderId="20" xfId="0" applyFont="true" applyBorder="true" applyAlignment="true" applyProtection="false">
      <alignment horizontal="center" vertical="bottom" textRotation="0" wrapText="false" indent="0" shrinkToFit="false"/>
      <protection locked="true" hidden="false"/>
    </xf>
    <xf numFmtId="164" fontId="10" fillId="6" borderId="20" xfId="0" applyFont="true" applyBorder="true" applyAlignment="true" applyProtection="true">
      <alignment horizontal="center" vertical="bottom" textRotation="0" wrapText="false" indent="0" shrinkToFit="false"/>
      <protection locked="false" hidden="false"/>
    </xf>
    <xf numFmtId="164" fontId="10" fillId="6" borderId="20" xfId="0" applyFont="true" applyBorder="true" applyAlignment="false" applyProtection="true">
      <alignment horizontal="general" vertical="bottom" textRotation="0" wrapText="false" indent="0" shrinkToFit="false"/>
      <protection locked="false" hidden="false"/>
    </xf>
    <xf numFmtId="164" fontId="0" fillId="0" borderId="19" xfId="0" applyFont="false" applyBorder="true" applyAlignment="false" applyProtection="false">
      <alignment horizontal="general" vertical="bottom" textRotation="0" wrapText="false" indent="0" shrinkToFit="false"/>
      <protection locked="true" hidden="false"/>
    </xf>
    <xf numFmtId="164" fontId="11" fillId="0" borderId="0" xfId="0" applyFont="true" applyBorder="true" applyAlignment="true" applyProtection="false">
      <alignment horizontal="left" vertical="center" textRotation="0" wrapText="false" indent="0" shrinkToFit="false"/>
      <protection locked="true" hidden="false"/>
    </xf>
    <xf numFmtId="164" fontId="10" fillId="7" borderId="0" xfId="0" applyFont="true" applyBorder="true" applyAlignment="true" applyProtection="false">
      <alignment horizontal="left" vertical="top" textRotation="0" wrapText="true" indent="0" shrinkToFit="false"/>
      <protection locked="true" hidden="false"/>
    </xf>
    <xf numFmtId="164" fontId="15" fillId="7" borderId="0" xfId="20" applyFont="true" applyBorder="true" applyAlignment="true" applyProtection="false">
      <alignment horizontal="center" vertical="bottom" textRotation="0" wrapText="false" indent="0" shrinkToFit="false"/>
      <protection locked="true" hidden="false"/>
    </xf>
    <xf numFmtId="164" fontId="16" fillId="7" borderId="0" xfId="0" applyFont="true" applyBorder="true" applyAlignment="false" applyProtection="false">
      <alignment horizontal="general" vertical="bottom" textRotation="0" wrapText="false" indent="0" shrinkToFit="false"/>
      <protection locked="true" hidden="false"/>
    </xf>
    <xf numFmtId="164" fontId="17" fillId="7" borderId="0" xfId="0" applyFont="true" applyBorder="true" applyAlignment="false" applyProtection="false">
      <alignment horizontal="general" vertical="bottom" textRotation="0" wrapText="false" indent="0" shrinkToFit="false"/>
      <protection locked="true" hidden="false"/>
    </xf>
    <xf numFmtId="164" fontId="17" fillId="7" borderId="21" xfId="0" applyFont="true" applyBorder="true" applyAlignment="false" applyProtection="false">
      <alignment horizontal="general" vertical="bottom" textRotation="0" wrapText="false" indent="0" shrinkToFit="false"/>
      <protection locked="true" hidden="false"/>
    </xf>
    <xf numFmtId="164" fontId="10" fillId="0" borderId="15" xfId="0" applyFont="true" applyBorder="true" applyAlignment="true" applyProtection="false">
      <alignment horizontal="general" vertical="bottom" textRotation="0" wrapText="false" indent="0" shrinkToFit="false"/>
      <protection locked="true" hidden="false"/>
    </xf>
    <xf numFmtId="164" fontId="10" fillId="0" borderId="0" xfId="0" applyFont="true" applyBorder="true" applyAlignment="true" applyProtection="false">
      <alignment horizontal="general" vertical="bottom" textRotation="0" wrapText="false" indent="0" shrinkToFit="false"/>
      <protection locked="true" hidden="false"/>
    </xf>
    <xf numFmtId="164" fontId="10" fillId="0" borderId="20" xfId="0" applyFont="true" applyBorder="true" applyAlignment="false" applyProtection="false">
      <alignment horizontal="general" vertical="bottom" textRotation="0" wrapText="false" indent="0" shrinkToFit="false"/>
      <protection locked="true" hidden="false"/>
    </xf>
    <xf numFmtId="164" fontId="10" fillId="0" borderId="20" xfId="0" applyFont="true" applyBorder="true" applyAlignment="true" applyProtection="false">
      <alignment horizontal="left" vertical="bottom" textRotation="0" wrapText="false" indent="0" shrinkToFit="false"/>
      <protection locked="true" hidden="false"/>
    </xf>
    <xf numFmtId="164" fontId="10" fillId="0" borderId="0" xfId="0" applyFont="true" applyBorder="true" applyAlignment="true" applyProtection="false">
      <alignment horizontal="general" vertical="top" textRotation="0" wrapText="false" indent="0" shrinkToFit="false"/>
      <protection locked="true" hidden="false"/>
    </xf>
    <xf numFmtId="164" fontId="10" fillId="0" borderId="0" xfId="0" applyFont="true" applyBorder="true" applyAlignment="true" applyProtection="false">
      <alignment horizontal="left" vertical="top" textRotation="0" wrapText="false" indent="0" shrinkToFit="false"/>
      <protection locked="true" hidden="false"/>
    </xf>
    <xf numFmtId="164" fontId="10" fillId="0" borderId="0" xfId="0" applyFont="true" applyBorder="true" applyAlignment="true" applyProtection="false">
      <alignment horizontal="left" vertical="top" textRotation="0" wrapText="true" indent="0" shrinkToFit="false"/>
      <protection locked="true" hidden="false"/>
    </xf>
    <xf numFmtId="164" fontId="0" fillId="0" borderId="22" xfId="0" applyFont="false" applyBorder="true" applyAlignment="false" applyProtection="false">
      <alignment horizontal="general" vertical="bottom" textRotation="0" wrapText="false" indent="0" shrinkToFit="false"/>
      <protection locked="true" hidden="false"/>
    </xf>
    <xf numFmtId="164" fontId="18" fillId="0" borderId="8" xfId="0" applyFont="true" applyBorder="true" applyAlignment="false" applyProtection="false">
      <alignment horizontal="general" vertical="bottom" textRotation="0" wrapText="false" indent="0" shrinkToFit="false"/>
      <protection locked="true" hidden="false"/>
    </xf>
    <xf numFmtId="164" fontId="19" fillId="0" borderId="8" xfId="0" applyFont="true" applyBorder="true" applyAlignment="true" applyProtection="false">
      <alignment horizontal="general" vertical="center" textRotation="0" wrapText="false" indent="0" shrinkToFit="false"/>
      <protection locked="true" hidden="false"/>
    </xf>
    <xf numFmtId="164" fontId="11" fillId="0" borderId="8" xfId="0" applyFont="true" applyBorder="true" applyAlignment="true" applyProtection="false">
      <alignment horizontal="general" vertical="center" textRotation="0" wrapText="false" indent="0" shrinkToFit="false"/>
      <protection locked="true" hidden="false"/>
    </xf>
    <xf numFmtId="164" fontId="0" fillId="0" borderId="9" xfId="0" applyFont="false" applyBorder="true" applyAlignment="false" applyProtection="false">
      <alignment horizontal="general" vertical="bottom" textRotation="0" wrapText="false" indent="0" shrinkToFit="false"/>
      <protection locked="true" hidden="false"/>
    </xf>
    <xf numFmtId="164" fontId="10" fillId="0" borderId="3" xfId="0" applyFont="true" applyBorder="true" applyAlignment="false" applyProtection="false">
      <alignment horizontal="general" vertical="bottom" textRotation="0" wrapText="false" indent="0" shrinkToFit="false"/>
      <protection locked="true" hidden="false"/>
    </xf>
    <xf numFmtId="164" fontId="0" fillId="0" borderId="4" xfId="0" applyFont="false" applyBorder="true" applyAlignment="false" applyProtection="false">
      <alignment horizontal="general" vertical="bottom" textRotation="0" wrapText="false" indent="0" shrinkToFit="false"/>
      <protection locked="true" hidden="false"/>
    </xf>
    <xf numFmtId="164" fontId="20" fillId="0" borderId="0" xfId="0" applyFont="true" applyBorder="true" applyAlignment="true" applyProtection="false">
      <alignment horizontal="left" vertical="bottom" textRotation="0" wrapText="false" indent="0" shrinkToFit="false"/>
      <protection locked="true" hidden="false"/>
    </xf>
    <xf numFmtId="164" fontId="20" fillId="0" borderId="0" xfId="0" applyFont="true" applyBorder="true" applyAlignment="false" applyProtection="true">
      <alignment horizontal="general" vertical="bottom" textRotation="0" wrapText="false" indent="0" shrinkToFit="false"/>
      <protection locked="true" hidden="false"/>
    </xf>
    <xf numFmtId="164" fontId="10" fillId="0" borderId="0" xfId="0" applyFont="true" applyBorder="true" applyAlignment="false" applyProtection="true">
      <alignment horizontal="general" vertical="bottom" textRotation="0" wrapText="false" indent="0" shrinkToFit="false"/>
      <protection locked="true" hidden="false"/>
    </xf>
    <xf numFmtId="164" fontId="0" fillId="0" borderId="0" xfId="0" applyFont="false" applyBorder="true" applyAlignment="false" applyProtection="true">
      <alignment horizontal="general" vertical="bottom" textRotation="0" wrapText="false" indent="0" shrinkToFit="false"/>
      <protection locked="true" hidden="false"/>
    </xf>
    <xf numFmtId="164" fontId="0" fillId="0" borderId="6" xfId="0" applyFont="false" applyBorder="true" applyAlignment="false" applyProtection="true">
      <alignment horizontal="general" vertical="bottom" textRotation="0" wrapText="false" indent="0" shrinkToFit="false"/>
      <protection locked="true" hidden="false"/>
    </xf>
    <xf numFmtId="164" fontId="0" fillId="0" borderId="11" xfId="0" applyFont="false" applyBorder="true" applyAlignment="false" applyProtection="true">
      <alignment horizontal="general" vertical="bottom" textRotation="0" wrapText="false" indent="0" shrinkToFit="false"/>
      <protection locked="false" hidden="false"/>
    </xf>
    <xf numFmtId="164" fontId="10" fillId="0" borderId="0" xfId="0" applyFont="true" applyBorder="true" applyAlignment="true" applyProtection="true">
      <alignment horizontal="left" vertical="center" textRotation="0" wrapText="false" indent="0" shrinkToFit="false"/>
      <protection locked="true" hidden="false"/>
    </xf>
    <xf numFmtId="164" fontId="10" fillId="0" borderId="0" xfId="0" applyFont="true" applyBorder="true" applyAlignment="true" applyProtection="true">
      <alignment horizontal="left" vertical="bottom" textRotation="0" wrapText="false" indent="0" shrinkToFit="false"/>
      <protection locked="true" hidden="false"/>
    </xf>
    <xf numFmtId="164" fontId="11" fillId="0" borderId="20" xfId="0" applyFont="true" applyBorder="true" applyAlignment="false" applyProtection="false">
      <alignment horizontal="general" vertical="bottom" textRotation="0" wrapText="false" indent="0" shrinkToFit="false"/>
      <protection locked="true" hidden="false"/>
    </xf>
    <xf numFmtId="164" fontId="11" fillId="0" borderId="20" xfId="0" applyFont="true" applyBorder="true" applyAlignment="true" applyProtection="false">
      <alignment horizontal="left" vertical="bottom" textRotation="0" wrapText="false" indent="0" shrinkToFit="false"/>
      <protection locked="true" hidden="false"/>
    </xf>
    <xf numFmtId="164" fontId="11" fillId="0" borderId="20" xfId="0" applyFont="true" applyBorder="true" applyAlignment="true" applyProtection="false">
      <alignment horizontal="center" vertical="bottom" textRotation="0" wrapText="false" indent="0" shrinkToFit="false"/>
      <protection locked="true" hidden="false"/>
    </xf>
    <xf numFmtId="164" fontId="10" fillId="0" borderId="23" xfId="0" applyFont="true" applyBorder="true" applyAlignment="true" applyProtection="false">
      <alignment horizontal="left" vertical="bottom" textRotation="0" wrapText="false" indent="0" shrinkToFit="false"/>
      <protection locked="true" hidden="false"/>
    </xf>
    <xf numFmtId="164" fontId="10" fillId="0" borderId="20" xfId="0" applyFont="true" applyBorder="true" applyAlignment="true" applyProtection="true">
      <alignment horizontal="center" vertical="bottom" textRotation="0" wrapText="false" indent="0" shrinkToFit="false"/>
      <protection locked="false" hidden="false"/>
    </xf>
    <xf numFmtId="164" fontId="10" fillId="0" borderId="20" xfId="0" applyFont="true" applyBorder="true" applyAlignment="false" applyProtection="true">
      <alignment horizontal="general" vertical="bottom" textRotation="0" wrapText="false" indent="0" shrinkToFit="false"/>
      <protection locked="false" hidden="false"/>
    </xf>
    <xf numFmtId="164" fontId="12" fillId="0" borderId="0" xfId="0" applyFont="true" applyBorder="true" applyAlignment="false" applyProtection="false">
      <alignment horizontal="general" vertical="bottom" textRotation="0" wrapText="false" indent="0" shrinkToFit="false"/>
      <protection locked="true" hidden="false"/>
    </xf>
    <xf numFmtId="166" fontId="10" fillId="0" borderId="12" xfId="0" applyFont="true" applyBorder="true" applyAlignment="true" applyProtection="true">
      <alignment horizontal="center" vertical="bottom" textRotation="0" wrapText="false" indent="0" shrinkToFit="false"/>
      <protection locked="true" hidden="false"/>
    </xf>
    <xf numFmtId="164" fontId="10" fillId="0" borderId="12" xfId="0" applyFont="true" applyBorder="true" applyAlignment="true" applyProtection="true">
      <alignment horizontal="center" vertical="bottom" textRotation="0" wrapText="false" indent="0" shrinkToFit="false"/>
      <protection locked="true" hidden="false"/>
    </xf>
    <xf numFmtId="164" fontId="0" fillId="0" borderId="12" xfId="0" applyFont="false" applyBorder="true" applyAlignment="true" applyProtection="true">
      <alignment horizontal="center" vertical="bottom" textRotation="0" wrapText="false" indent="0" shrinkToFit="false"/>
      <protection locked="false" hidden="false"/>
    </xf>
    <xf numFmtId="164" fontId="21" fillId="0" borderId="20" xfId="0" applyFont="true" applyBorder="true" applyAlignment="true" applyProtection="false">
      <alignment horizontal="general" vertical="bottom" textRotation="0" wrapText="true" indent="0" shrinkToFit="false"/>
      <protection locked="true" hidden="false"/>
    </xf>
    <xf numFmtId="164" fontId="10" fillId="0" borderId="20" xfId="0" applyFont="true" applyBorder="true" applyAlignment="true" applyProtection="true">
      <alignment horizontal="center" vertical="bottom" textRotation="0" wrapText="true" indent="0" shrinkToFit="false"/>
      <protection locked="false" hidden="false"/>
    </xf>
    <xf numFmtId="164" fontId="0" fillId="0" borderId="8" xfId="0" applyFont="false" applyBorder="true" applyAlignment="false" applyProtection="false">
      <alignment horizontal="general" vertical="bottom" textRotation="0" wrapText="false" indent="0" shrinkToFit="false"/>
      <protection locked="true" hidden="false"/>
    </xf>
    <xf numFmtId="164" fontId="24" fillId="0" borderId="18" xfId="0" applyFont="true" applyBorder="true" applyAlignment="true" applyProtection="false">
      <alignment horizontal="center" vertical="bottom" textRotation="0" wrapText="false" indent="0" shrinkToFit="false"/>
      <protection locked="true" hidden="false"/>
    </xf>
    <xf numFmtId="164" fontId="21" fillId="0" borderId="20" xfId="0" applyFont="true" applyBorder="true" applyAlignment="true" applyProtection="false">
      <alignment horizontal="center" vertical="center" textRotation="0" wrapText="true" indent="0" shrinkToFit="false"/>
      <protection locked="true" hidden="false"/>
    </xf>
    <xf numFmtId="164" fontId="21" fillId="0" borderId="24" xfId="0" applyFont="true" applyBorder="true" applyAlignment="true" applyProtection="false">
      <alignment horizontal="center" vertical="bottom" textRotation="0" wrapText="true" indent="0" shrinkToFit="false"/>
      <protection locked="true" hidden="false"/>
    </xf>
    <xf numFmtId="164" fontId="10" fillId="0" borderId="23" xfId="0" applyFont="true" applyBorder="true" applyAlignment="true" applyProtection="true">
      <alignment horizontal="center" vertical="bottom" textRotation="0" wrapText="true" indent="0" shrinkToFit="false"/>
      <protection locked="false" hidden="false"/>
    </xf>
    <xf numFmtId="165" fontId="10" fillId="0" borderId="20" xfId="0" applyFont="true" applyBorder="true" applyAlignment="false" applyProtection="true">
      <alignment horizontal="general" vertical="bottom" textRotation="0" wrapText="false" indent="0" shrinkToFit="false"/>
      <protection locked="false" hidden="false"/>
    </xf>
    <xf numFmtId="164" fontId="10" fillId="0" borderId="25" xfId="0" applyFont="true" applyBorder="true" applyAlignment="true" applyProtection="true">
      <alignment horizontal="center" vertical="bottom" textRotation="0" wrapText="true" indent="0" shrinkToFit="false"/>
      <protection locked="false" hidden="false"/>
    </xf>
    <xf numFmtId="164" fontId="26" fillId="0" borderId="0" xfId="0" applyFont="true" applyBorder="true" applyAlignment="true" applyProtection="false">
      <alignment horizontal="center" vertical="bottom" textRotation="0" wrapText="true" indent="0" shrinkToFit="false"/>
      <protection locked="true" hidden="false"/>
    </xf>
    <xf numFmtId="164" fontId="21" fillId="0" borderId="20" xfId="0" applyFont="true" applyBorder="true" applyAlignment="true" applyProtection="false">
      <alignment horizontal="center" vertical="bottom" textRotation="0" wrapText="true" indent="0" shrinkToFit="false"/>
      <protection locked="true" hidden="false"/>
    </xf>
    <xf numFmtId="164" fontId="10" fillId="0" borderId="26" xfId="0" applyFont="true" applyBorder="true" applyAlignment="true" applyProtection="true">
      <alignment horizontal="center" vertical="bottom" textRotation="0" wrapText="false" indent="0" shrinkToFit="false"/>
      <protection locked="false" hidden="false"/>
    </xf>
    <xf numFmtId="164" fontId="11" fillId="0" borderId="6" xfId="0" applyFont="true" applyBorder="true" applyAlignment="true" applyProtection="false">
      <alignment horizontal="left" vertical="center" textRotation="0" wrapText="false" indent="0" shrinkToFit="false"/>
      <protection locked="true" hidden="false"/>
    </xf>
    <xf numFmtId="164" fontId="11" fillId="0" borderId="0" xfId="0" applyFont="true" applyBorder="true" applyAlignment="true" applyProtection="false">
      <alignment horizontal="general" vertical="center" textRotation="0" wrapText="true" indent="0" shrinkToFit="false"/>
      <protection locked="true" hidden="false"/>
    </xf>
    <xf numFmtId="164" fontId="10" fillId="4" borderId="20" xfId="0" applyFont="true" applyBorder="true" applyAlignment="true" applyProtection="true">
      <alignment horizontal="center" vertical="bottom" textRotation="0" wrapText="false" indent="0" shrinkToFit="false"/>
      <protection locked="false" hidden="false"/>
    </xf>
    <xf numFmtId="164" fontId="10" fillId="0" borderId="0" xfId="0" applyFont="true" applyBorder="true" applyAlignment="true" applyProtection="false">
      <alignment horizontal="center" vertical="bottom" textRotation="0" wrapText="false" indent="0" shrinkToFit="false"/>
      <protection locked="true" hidden="false"/>
    </xf>
    <xf numFmtId="164" fontId="10" fillId="0" borderId="20" xfId="0" applyFont="true" applyBorder="true" applyAlignment="true" applyProtection="false">
      <alignment horizontal="center" vertical="bottom" textRotation="0" wrapText="false" indent="0" shrinkToFit="false"/>
      <protection locked="true" hidden="false"/>
    </xf>
    <xf numFmtId="164" fontId="11" fillId="8" borderId="20" xfId="0" applyFont="true" applyBorder="true" applyAlignment="true" applyProtection="false">
      <alignment horizontal="center" vertical="bottom" textRotation="0" wrapText="false" indent="0" shrinkToFit="false"/>
      <protection locked="true" hidden="false"/>
    </xf>
    <xf numFmtId="164" fontId="10" fillId="8" borderId="20" xfId="0" applyFont="true" applyBorder="true" applyAlignment="true" applyProtection="true">
      <alignment horizontal="center" vertical="bottom" textRotation="0" wrapText="false" indent="0" shrinkToFit="false"/>
      <protection locked="false" hidden="false"/>
    </xf>
    <xf numFmtId="164" fontId="10" fillId="8" borderId="20" xfId="0" applyFont="true" applyBorder="true" applyAlignment="false" applyProtection="true">
      <alignment horizontal="general" vertical="bottom" textRotation="0" wrapText="false" indent="0" shrinkToFit="false"/>
      <protection locked="false" hidden="false"/>
    </xf>
    <xf numFmtId="164" fontId="10" fillId="0" borderId="0" xfId="0" applyFont="true" applyBorder="true" applyAlignment="true" applyProtection="false">
      <alignment horizontal="left" vertical="bottom" textRotation="0" wrapText="true" indent="0" shrinkToFit="false"/>
      <protection locked="true" hidden="false"/>
    </xf>
    <xf numFmtId="164" fontId="11" fillId="0" borderId="0" xfId="0" applyFont="true" applyBorder="false" applyAlignment="true" applyProtection="false">
      <alignment horizontal="left" vertical="center" textRotation="0" wrapText="true" indent="0" shrinkToFit="false"/>
      <protection locked="true" hidden="false"/>
    </xf>
    <xf numFmtId="164" fontId="20" fillId="0" borderId="0" xfId="0" applyFont="true" applyBorder="true" applyAlignment="false" applyProtection="false">
      <alignment horizontal="general" vertical="bottom" textRotation="0" wrapText="false" indent="0" shrinkToFit="false"/>
      <protection locked="true" hidden="false"/>
    </xf>
    <xf numFmtId="164" fontId="10" fillId="0" borderId="23" xfId="0" applyFont="true" applyBorder="true" applyAlignment="true" applyProtection="true">
      <alignment horizontal="left" vertical="bottom" textRotation="0" wrapText="false" indent="0" shrinkToFit="false"/>
      <protection locked="false" hidden="false"/>
    </xf>
    <xf numFmtId="164" fontId="10" fillId="0" borderId="20" xfId="0" applyFont="true" applyBorder="true" applyAlignment="true" applyProtection="true">
      <alignment horizontal="left" vertical="bottom" textRotation="0" wrapText="false" indent="0" shrinkToFit="false"/>
      <protection locked="false" hidden="false"/>
    </xf>
    <xf numFmtId="164" fontId="10" fillId="0" borderId="20" xfId="0" applyFont="true" applyBorder="true" applyAlignment="true" applyProtection="false">
      <alignment horizontal="general" vertical="bottom" textRotation="0" wrapText="true" indent="0" shrinkToFit="false"/>
      <protection locked="true" hidden="false"/>
    </xf>
    <xf numFmtId="164" fontId="10" fillId="0" borderId="20" xfId="0" applyFont="true" applyBorder="true" applyAlignment="true" applyProtection="true">
      <alignment horizontal="general" vertical="bottom" textRotation="0" wrapText="true" indent="0" shrinkToFit="false"/>
      <protection locked="false" hidden="false"/>
    </xf>
    <xf numFmtId="164" fontId="11" fillId="0" borderId="20" xfId="0" applyFont="true" applyBorder="true" applyAlignment="true" applyProtection="false">
      <alignment horizontal="center" vertical="bottom" textRotation="0" wrapText="true" indent="0" shrinkToFit="false"/>
      <protection locked="true" hidden="false"/>
    </xf>
    <xf numFmtId="164" fontId="11" fillId="0" borderId="20" xfId="0" applyFont="true" applyBorder="true" applyAlignment="true" applyProtection="false">
      <alignment horizontal="general" vertical="bottom" textRotation="0" wrapText="true" indent="0" shrinkToFit="false"/>
      <protection locked="true" hidden="false"/>
    </xf>
    <xf numFmtId="164" fontId="11" fillId="0" borderId="20" xfId="0" applyFont="true" applyBorder="true" applyAlignment="true" applyProtection="false">
      <alignment horizontal="left" vertical="bottom" textRotation="0" wrapText="true" indent="0" shrinkToFit="false"/>
      <protection locked="true" hidden="false"/>
    </xf>
    <xf numFmtId="164" fontId="10" fillId="0" borderId="20" xfId="0" applyFont="true" applyBorder="true" applyAlignment="true" applyProtection="true">
      <alignment horizontal="left" vertical="bottom" textRotation="0" wrapText="true" indent="0" shrinkToFit="false"/>
      <protection locked="false" hidden="false"/>
    </xf>
    <xf numFmtId="164" fontId="10" fillId="0" borderId="20" xfId="0" applyFont="true" applyBorder="true" applyAlignment="true" applyProtection="true">
      <alignment horizontal="left" vertical="top" textRotation="0" wrapText="true" indent="0" shrinkToFit="false"/>
      <protection locked="false" hidden="false"/>
    </xf>
    <xf numFmtId="164" fontId="27" fillId="0" borderId="0" xfId="0" applyFont="true" applyBorder="true" applyAlignment="true" applyProtection="false">
      <alignment horizontal="general" vertical="bottom" textRotation="0" wrapText="false" indent="0" shrinkToFit="false"/>
      <protection locked="true" hidden="false"/>
    </xf>
    <xf numFmtId="164" fontId="11" fillId="0" borderId="20" xfId="0" applyFont="true" applyBorder="true" applyAlignment="true" applyProtection="true">
      <alignment horizontal="center" vertical="bottom" textRotation="0" wrapText="false" indent="0" shrinkToFit="false"/>
      <protection locked="false" hidden="false"/>
    </xf>
    <xf numFmtId="166" fontId="11" fillId="0" borderId="20" xfId="0" applyFont="true" applyBorder="true" applyAlignment="true" applyProtection="true">
      <alignment horizontal="center" vertical="bottom" textRotation="0" wrapText="false" indent="0" shrinkToFit="false"/>
      <protection locked="false" hidden="false"/>
    </xf>
    <xf numFmtId="164" fontId="27" fillId="0" borderId="0" xfId="0" applyFont="true" applyBorder="true" applyAlignment="false" applyProtection="false">
      <alignment horizontal="general" vertical="bottom" textRotation="0" wrapText="false" indent="0" shrinkToFit="false"/>
      <protection locked="true" hidden="false"/>
    </xf>
    <xf numFmtId="164" fontId="11" fillId="0" borderId="0" xfId="0" applyFont="true" applyBorder="true" applyAlignment="true" applyProtection="false">
      <alignment horizontal="left" vertical="center" textRotation="0" wrapText="true" indent="0" shrinkToFit="false"/>
      <protection locked="true" hidden="false"/>
    </xf>
    <xf numFmtId="164" fontId="10" fillId="0" borderId="0" xfId="0" applyFont="true" applyBorder="true" applyAlignment="true" applyProtection="false">
      <alignment horizontal="left" vertical="center" textRotation="0" wrapText="true" indent="0" shrinkToFit="false"/>
      <protection locked="true" hidden="false"/>
    </xf>
    <xf numFmtId="164" fontId="10" fillId="0" borderId="20" xfId="0" applyFont="true" applyBorder="true" applyAlignment="true" applyProtection="true">
      <alignment horizontal="left" vertical="center" textRotation="0" wrapText="true" indent="0" shrinkToFit="false"/>
      <protection locked="false" hidden="false"/>
    </xf>
    <xf numFmtId="164" fontId="10" fillId="0" borderId="20" xfId="0" applyFont="true" applyBorder="true" applyAlignment="true" applyProtection="true">
      <alignment horizontal="general" vertical="center" textRotation="0" wrapText="true" indent="0" shrinkToFit="false"/>
      <protection locked="false" hidden="false"/>
    </xf>
    <xf numFmtId="164" fontId="0" fillId="0" borderId="20" xfId="0" applyFont="false" applyBorder="true" applyAlignment="true" applyProtection="false">
      <alignment horizontal="left" vertical="bottom" textRotation="0" wrapText="false" indent="0" shrinkToFit="false"/>
      <protection locked="true" hidden="false"/>
    </xf>
    <xf numFmtId="164" fontId="27" fillId="0" borderId="0" xfId="0" applyFont="true" applyBorder="true" applyAlignment="true" applyProtection="false">
      <alignment horizontal="left" vertical="bottom" textRotation="0" wrapText="false" indent="0" shrinkToFit="false"/>
      <protection locked="true" hidden="false"/>
    </xf>
    <xf numFmtId="164" fontId="0" fillId="9" borderId="0" xfId="0" applyFont="true" applyBorder="false" applyAlignment="false" applyProtection="false">
      <alignment horizontal="general" vertical="bottom" textRotation="0" wrapText="false" indent="0" shrinkToFit="false"/>
      <protection locked="true" hidden="false"/>
    </xf>
    <xf numFmtId="164" fontId="0" fillId="0" borderId="20" xfId="0" applyFont="true" applyBorder="true" applyAlignment="true" applyProtection="false">
      <alignment horizontal="general" vertical="bottom" textRotation="0" wrapText="false" indent="0" shrinkToFit="false"/>
      <protection locked="true" hidden="false"/>
    </xf>
    <xf numFmtId="164" fontId="28" fillId="10" borderId="20" xfId="0" applyFont="true" applyBorder="true" applyAlignment="false" applyProtection="false">
      <alignment horizontal="general" vertical="bottom" textRotation="0" wrapText="false" indent="0" shrinkToFit="false"/>
      <protection locked="true" hidden="false"/>
    </xf>
    <xf numFmtId="164" fontId="0" fillId="0" borderId="20" xfId="0" applyFont="true" applyBorder="true" applyAlignment="false" applyProtection="false">
      <alignment horizontal="general" vertical="bottom" textRotation="0" wrapText="false" indent="0" shrinkToFit="false"/>
      <protection locked="true" hidden="false"/>
    </xf>
    <xf numFmtId="164" fontId="0" fillId="0" borderId="20" xfId="0" applyFont="true" applyBorder="true" applyAlignment="true" applyProtection="false">
      <alignment horizontal="left" vertical="bottom" textRotation="0" wrapText="false" indent="0" shrinkToFit="false"/>
      <protection locked="true" hidden="false"/>
    </xf>
  </cellXfs>
  <cellStyles count="7">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Excel Built-in Explanatory Text" xfId="20" builtinId="53" customBuiltin="true"/>
  </cell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FF2CC"/>
      <rgbColor rgb="FFDEEBF7"/>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E7E6E6"/>
      <rgbColor rgb="FFE2F0D9"/>
      <rgbColor rgb="FFFFFF99"/>
      <rgbColor rgb="FF99CCFF"/>
      <rgbColor rgb="FFFF99CC"/>
      <rgbColor rgb="FFCC99FF"/>
      <rgbColor rgb="FFFBE5D6"/>
      <rgbColor rgb="FF3366FF"/>
      <rgbColor rgb="FF33CCCC"/>
      <rgbColor rgb="FF99CC00"/>
      <rgbColor rgb="FFFFCC00"/>
      <rgbColor rgb="FFFF9900"/>
      <rgbColor rgb="FFFF6600"/>
      <rgbColor rgb="FF666699"/>
      <rgbColor rgb="FF969696"/>
      <rgbColor rgb="FF002060"/>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worksheet" Target="worksheets/sheet11.xml"/><Relationship Id="rId14" Type="http://schemas.openxmlformats.org/officeDocument/2006/relationships/worksheet" Target="worksheets/sheet12.xml"/><Relationship Id="rId15" Type="http://schemas.openxmlformats.org/officeDocument/2006/relationships/worksheet" Target="worksheets/sheet13.xml"/><Relationship Id="rId16"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301.png"/>
</Relationships>
</file>

<file path=xl/drawings/_rels/drawing2.xml.rels><?xml version="1.0" encoding="UTF-8"?>
<Relationships xmlns="http://schemas.openxmlformats.org/package/2006/relationships"><Relationship Id="rId1" Type="http://schemas.openxmlformats.org/officeDocument/2006/relationships/image" Target="../media/image302.png"/><Relationship Id="rId2" Type="http://schemas.openxmlformats.org/officeDocument/2006/relationships/image" Target="../media/image303.png"/><Relationship Id="rId3" Type="http://schemas.openxmlformats.org/officeDocument/2006/relationships/image" Target="../media/image304.png"/><Relationship Id="rId4" Type="http://schemas.openxmlformats.org/officeDocument/2006/relationships/image" Target="../media/image305.png"/>
</Relationships>
</file>

<file path=xl/drawings/_rels/drawing5.xml.rels><?xml version="1.0" encoding="UTF-8"?>
<Relationships xmlns="http://schemas.openxmlformats.org/package/2006/relationships"><Relationship Id="rId1" Type="http://schemas.openxmlformats.org/officeDocument/2006/relationships/image" Target="../media/image306.png"/><Relationship Id="rId2" Type="http://schemas.openxmlformats.org/officeDocument/2006/relationships/image" Target="../media/image307.png"/><Relationship Id="rId3" Type="http://schemas.openxmlformats.org/officeDocument/2006/relationships/image" Target="../media/image308.png"/><Relationship Id="rId4" Type="http://schemas.openxmlformats.org/officeDocument/2006/relationships/image" Target="../media/image309.png"/>
</Relationships>
</file>

<file path=xl/drawings/_rels/drawing8.xml.rels><?xml version="1.0" encoding="UTF-8"?>
<Relationships xmlns="http://schemas.openxmlformats.org/package/2006/relationships"><Relationship Id="rId1" Type="http://schemas.openxmlformats.org/officeDocument/2006/relationships/image" Target="../media/image310.png"/><Relationship Id="rId2" Type="http://schemas.openxmlformats.org/officeDocument/2006/relationships/image" Target="../media/image311.png"/><Relationship Id="rId3" Type="http://schemas.openxmlformats.org/officeDocument/2006/relationships/image" Target="../media/image312.png"/><Relationship Id="rId4" Type="http://schemas.openxmlformats.org/officeDocument/2006/relationships/image" Target="../media/image313.png"/>
</Relationships>
</file>

<file path=xl/drawings/_rels/drawing9.xml.rels><?xml version="1.0" encoding="UTF-8"?>
<Relationships xmlns="http://schemas.openxmlformats.org/package/2006/relationships"><Relationship Id="rId1" Type="http://schemas.openxmlformats.org/officeDocument/2006/relationships/image" Target="../media/image314.png"/><Relationship Id="rId2" Type="http://schemas.openxmlformats.org/officeDocument/2006/relationships/image" Target="../media/image315.png"/><Relationship Id="rId3" Type="http://schemas.openxmlformats.org/officeDocument/2006/relationships/image" Target="../media/image316.png"/><Relationship Id="rId4" Type="http://schemas.openxmlformats.org/officeDocument/2006/relationships/image" Target="../media/image317.png"/>
</Relationships>
</file>

<file path=xl/drawings/_rels/drawing10.xml.rels><?xml version="1.0" encoding="UTF-8"?>
<Relationships xmlns="http://schemas.openxmlformats.org/package/2006/relationships"><Relationship Id="rId1" Type="http://schemas.openxmlformats.org/officeDocument/2006/relationships/image" Target="../media/image318.png"/><Relationship Id="rId2" Type="http://schemas.openxmlformats.org/officeDocument/2006/relationships/image" Target="../media/image319.png"/><Relationship Id="rId3" Type="http://schemas.openxmlformats.org/officeDocument/2006/relationships/image" Target="../media/image320.png"/><Relationship Id="rId4" Type="http://schemas.openxmlformats.org/officeDocument/2006/relationships/image" Target="../media/image321.png"/>
</Relationships>
</file>

<file path=xl/drawings/_rels/drawing11.xml.rels><?xml version="1.0" encoding="UTF-8"?>
<Relationships xmlns="http://schemas.openxmlformats.org/package/2006/relationships"><Relationship Id="rId1" Type="http://schemas.openxmlformats.org/officeDocument/2006/relationships/image" Target="../media/image322.png"/><Relationship Id="rId2" Type="http://schemas.openxmlformats.org/officeDocument/2006/relationships/image" Target="../media/image323.png"/><Relationship Id="rId3" Type="http://schemas.openxmlformats.org/officeDocument/2006/relationships/image" Target="../media/image324.png"/><Relationship Id="rId4" Type="http://schemas.openxmlformats.org/officeDocument/2006/relationships/image" Target="../media/image325.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0</xdr:colOff>
      <xdr:row>0</xdr:row>
      <xdr:rowOff>123840</xdr:rowOff>
    </xdr:from>
    <xdr:to>
      <xdr:col>3</xdr:col>
      <xdr:colOff>84960</xdr:colOff>
      <xdr:row>2</xdr:row>
      <xdr:rowOff>113400</xdr:rowOff>
    </xdr:to>
    <xdr:pic>
      <xdr:nvPicPr>
        <xdr:cNvPr id="0" name="Picture 8" descr=""/>
        <xdr:cNvPicPr/>
      </xdr:nvPicPr>
      <xdr:blipFill>
        <a:blip r:embed="rId1"/>
        <a:stretch/>
      </xdr:blipFill>
      <xdr:spPr>
        <a:xfrm>
          <a:off x="761760" y="123840"/>
          <a:ext cx="1609200" cy="370440"/>
        </a:xfrm>
        <a:prstGeom prst="rect">
          <a:avLst/>
        </a:prstGeom>
        <a:ln>
          <a:noFill/>
        </a:ln>
      </xdr:spPr>
    </xdr:pic>
    <xdr:clientData/>
  </xdr:twoCellAnchor>
  <xdr:twoCellAnchor editAs="oneCell">
    <xdr:from>
      <xdr:col>0</xdr:col>
      <xdr:colOff>200160</xdr:colOff>
      <xdr:row>2</xdr:row>
      <xdr:rowOff>133200</xdr:rowOff>
    </xdr:from>
    <xdr:to>
      <xdr:col>0</xdr:col>
      <xdr:colOff>551880</xdr:colOff>
      <xdr:row>4</xdr:row>
      <xdr:rowOff>37080</xdr:rowOff>
    </xdr:to>
    <xdr:sp>
      <xdr:nvSpPr>
        <xdr:cNvPr id="1" name="CustomShape 1"/>
        <xdr:cNvSpPr/>
      </xdr:nvSpPr>
      <xdr:spPr>
        <a:xfrm>
          <a:off x="200160" y="514080"/>
          <a:ext cx="351720" cy="294480"/>
        </a:xfrm>
        <a:prstGeom prst="ellipse">
          <a:avLst/>
        </a:prstGeom>
        <a:solidFill>
          <a:srgbClr val="ff0000"/>
        </a:solidFill>
        <a:ln>
          <a:noFill/>
        </a:ln>
      </xdr:spPr>
      <xdr:style>
        <a:lnRef idx="2">
          <a:schemeClr val="dk1">
            <a:shade val="50000"/>
          </a:schemeClr>
        </a:lnRef>
        <a:fillRef idx="1">
          <a:schemeClr val="dk1"/>
        </a:fillRef>
        <a:effectRef idx="0">
          <a:schemeClr val="dk1"/>
        </a:effectRef>
        <a:fontRef idx="minor"/>
      </xdr:style>
      <xdr:txBody>
        <a:bodyPr lIns="90000" rIns="90000" tIns="45000" bIns="45000" anchor="ctr"/>
        <a:p>
          <a:pPr algn="ctr">
            <a:lnSpc>
              <a:spcPct val="100000"/>
            </a:lnSpc>
          </a:pPr>
          <a:r>
            <a:rPr b="0" lang="en-IN" sz="1200" spc="-1" strike="noStrike">
              <a:solidFill>
                <a:srgbClr val="ffffff"/>
              </a:solidFill>
              <a:uFill>
                <a:solidFill>
                  <a:srgbClr val="ffffff"/>
                </a:solidFill>
              </a:uFill>
              <a:latin typeface="Calibri"/>
            </a:rPr>
            <a:t>1</a:t>
          </a:r>
          <a:endParaRPr b="0" lang="en-IN" sz="1200" spc="-1" strike="noStrike">
            <a:solidFill>
              <a:srgbClr val="000000"/>
            </a:solidFill>
            <a:uFill>
              <a:solidFill>
                <a:srgbClr val="ffffff"/>
              </a:solidFill>
            </a:uFill>
            <a:latin typeface="Times New Roman"/>
          </a:endParaRPr>
        </a:p>
      </xdr:txBody>
    </xdr:sp>
    <xdr:clientData/>
  </xdr:twoCellAnchor>
  <xdr:twoCellAnchor editAs="oneCell">
    <xdr:from>
      <xdr:col>12</xdr:col>
      <xdr:colOff>200160</xdr:colOff>
      <xdr:row>2</xdr:row>
      <xdr:rowOff>133200</xdr:rowOff>
    </xdr:from>
    <xdr:to>
      <xdr:col>12</xdr:col>
      <xdr:colOff>551880</xdr:colOff>
      <xdr:row>4</xdr:row>
      <xdr:rowOff>37080</xdr:rowOff>
    </xdr:to>
    <xdr:sp>
      <xdr:nvSpPr>
        <xdr:cNvPr id="2" name="CustomShape 1"/>
        <xdr:cNvSpPr/>
      </xdr:nvSpPr>
      <xdr:spPr>
        <a:xfrm>
          <a:off x="8677080" y="514080"/>
          <a:ext cx="351720" cy="294480"/>
        </a:xfrm>
        <a:prstGeom prst="ellipse">
          <a:avLst/>
        </a:prstGeom>
        <a:solidFill>
          <a:srgbClr val="ff0000"/>
        </a:solidFill>
        <a:ln>
          <a:noFill/>
        </a:ln>
      </xdr:spPr>
      <xdr:style>
        <a:lnRef idx="2">
          <a:schemeClr val="dk1">
            <a:shade val="50000"/>
          </a:schemeClr>
        </a:lnRef>
        <a:fillRef idx="1">
          <a:schemeClr val="dk1"/>
        </a:fillRef>
        <a:effectRef idx="0">
          <a:schemeClr val="dk1"/>
        </a:effectRef>
        <a:fontRef idx="minor"/>
      </xdr:style>
      <xdr:txBody>
        <a:bodyPr lIns="90000" rIns="90000" tIns="45000" bIns="45000" anchor="ctr"/>
        <a:p>
          <a:pPr algn="ctr">
            <a:lnSpc>
              <a:spcPct val="100000"/>
            </a:lnSpc>
          </a:pPr>
          <a:r>
            <a:rPr b="0" lang="en-IN" sz="1200" spc="-1" strike="noStrike">
              <a:solidFill>
                <a:srgbClr val="ffffff"/>
              </a:solidFill>
              <a:uFill>
                <a:solidFill>
                  <a:srgbClr val="ffffff"/>
                </a:solidFill>
              </a:uFill>
              <a:latin typeface="Calibri"/>
            </a:rPr>
            <a:t>2</a:t>
          </a:r>
          <a:endParaRPr b="0" lang="en-IN" sz="1200" spc="-1" strike="noStrike">
            <a:solidFill>
              <a:srgbClr val="000000"/>
            </a:solidFill>
            <a:uFill>
              <a:solidFill>
                <a:srgbClr val="ffffff"/>
              </a:solidFill>
            </a:uFill>
            <a:latin typeface="Times New Roman"/>
          </a:endParaRPr>
        </a:p>
      </xdr:txBody>
    </xdr:sp>
    <xdr:clientData/>
  </xdr:twoCellAnchor>
  <xdr:twoCellAnchor editAs="oneCell">
    <xdr:from>
      <xdr:col>0</xdr:col>
      <xdr:colOff>219240</xdr:colOff>
      <xdr:row>8</xdr:row>
      <xdr:rowOff>104760</xdr:rowOff>
    </xdr:from>
    <xdr:to>
      <xdr:col>0</xdr:col>
      <xdr:colOff>570960</xdr:colOff>
      <xdr:row>10</xdr:row>
      <xdr:rowOff>8640</xdr:rowOff>
    </xdr:to>
    <xdr:sp>
      <xdr:nvSpPr>
        <xdr:cNvPr id="3" name="CustomShape 1"/>
        <xdr:cNvSpPr/>
      </xdr:nvSpPr>
      <xdr:spPr>
        <a:xfrm>
          <a:off x="219240" y="1647720"/>
          <a:ext cx="351720" cy="294480"/>
        </a:xfrm>
        <a:prstGeom prst="ellipse">
          <a:avLst/>
        </a:prstGeom>
        <a:solidFill>
          <a:srgbClr val="ff0000"/>
        </a:solidFill>
        <a:ln>
          <a:noFill/>
        </a:ln>
      </xdr:spPr>
      <xdr:style>
        <a:lnRef idx="2">
          <a:schemeClr val="dk1">
            <a:shade val="50000"/>
          </a:schemeClr>
        </a:lnRef>
        <a:fillRef idx="1">
          <a:schemeClr val="dk1"/>
        </a:fillRef>
        <a:effectRef idx="0">
          <a:schemeClr val="dk1"/>
        </a:effectRef>
        <a:fontRef idx="minor"/>
      </xdr:style>
      <xdr:txBody>
        <a:bodyPr lIns="90000" rIns="90000" tIns="45000" bIns="45000" anchor="ctr"/>
        <a:p>
          <a:pPr algn="ctr">
            <a:lnSpc>
              <a:spcPct val="100000"/>
            </a:lnSpc>
          </a:pPr>
          <a:r>
            <a:rPr b="0" lang="en-IN" sz="1200" spc="-1" strike="noStrike">
              <a:solidFill>
                <a:srgbClr val="ffffff"/>
              </a:solidFill>
              <a:uFill>
                <a:solidFill>
                  <a:srgbClr val="ffffff"/>
                </a:solidFill>
              </a:uFill>
              <a:latin typeface="Calibri"/>
            </a:rPr>
            <a:t>3</a:t>
          </a:r>
          <a:endParaRPr b="0" lang="en-IN" sz="1200" spc="-1" strike="noStrike">
            <a:solidFill>
              <a:srgbClr val="000000"/>
            </a:solidFill>
            <a:uFill>
              <a:solidFill>
                <a:srgbClr val="ffffff"/>
              </a:solidFill>
            </a:uFill>
            <a:latin typeface="Times New Roman"/>
          </a:endParaRPr>
        </a:p>
      </xdr:txBody>
    </xdr:sp>
    <xdr:clientData/>
  </xdr:twoCellAnchor>
  <xdr:twoCellAnchor editAs="oneCell">
    <xdr:from>
      <xdr:col>12</xdr:col>
      <xdr:colOff>219240</xdr:colOff>
      <xdr:row>8</xdr:row>
      <xdr:rowOff>104760</xdr:rowOff>
    </xdr:from>
    <xdr:to>
      <xdr:col>12</xdr:col>
      <xdr:colOff>570960</xdr:colOff>
      <xdr:row>10</xdr:row>
      <xdr:rowOff>8640</xdr:rowOff>
    </xdr:to>
    <xdr:sp>
      <xdr:nvSpPr>
        <xdr:cNvPr id="4" name="CustomShape 1"/>
        <xdr:cNvSpPr/>
      </xdr:nvSpPr>
      <xdr:spPr>
        <a:xfrm>
          <a:off x="8696160" y="1647720"/>
          <a:ext cx="351720" cy="294480"/>
        </a:xfrm>
        <a:prstGeom prst="ellipse">
          <a:avLst/>
        </a:prstGeom>
        <a:solidFill>
          <a:srgbClr val="ff0000"/>
        </a:solidFill>
        <a:ln>
          <a:noFill/>
        </a:ln>
      </xdr:spPr>
      <xdr:style>
        <a:lnRef idx="2">
          <a:schemeClr val="dk1">
            <a:shade val="50000"/>
          </a:schemeClr>
        </a:lnRef>
        <a:fillRef idx="1">
          <a:schemeClr val="dk1"/>
        </a:fillRef>
        <a:effectRef idx="0">
          <a:schemeClr val="dk1"/>
        </a:effectRef>
        <a:fontRef idx="minor"/>
      </xdr:style>
      <xdr:txBody>
        <a:bodyPr lIns="90000" rIns="90000" tIns="45000" bIns="45000" anchor="ctr"/>
        <a:p>
          <a:pPr algn="ctr">
            <a:lnSpc>
              <a:spcPct val="100000"/>
            </a:lnSpc>
          </a:pPr>
          <a:r>
            <a:rPr b="0" lang="en-IN" sz="1200" spc="-1" strike="noStrike">
              <a:solidFill>
                <a:srgbClr val="ffffff"/>
              </a:solidFill>
              <a:uFill>
                <a:solidFill>
                  <a:srgbClr val="ffffff"/>
                </a:solidFill>
              </a:uFill>
              <a:latin typeface="Calibri"/>
            </a:rPr>
            <a:t>4</a:t>
          </a:r>
          <a:endParaRPr b="0" lang="en-IN" sz="1200" spc="-1" strike="noStrike">
            <a:solidFill>
              <a:srgbClr val="000000"/>
            </a:solidFill>
            <a:uFill>
              <a:solidFill>
                <a:srgbClr val="ffffff"/>
              </a:solidFill>
            </a:uFill>
            <a:latin typeface="Times New Roman"/>
          </a:endParaRPr>
        </a:p>
      </xdr:txBody>
    </xdr:sp>
    <xdr:clientData/>
  </xdr:twoCellAnchor>
  <xdr:twoCellAnchor editAs="oneCell">
    <xdr:from>
      <xdr:col>0</xdr:col>
      <xdr:colOff>209520</xdr:colOff>
      <xdr:row>14</xdr:row>
      <xdr:rowOff>85680</xdr:rowOff>
    </xdr:from>
    <xdr:to>
      <xdr:col>0</xdr:col>
      <xdr:colOff>561240</xdr:colOff>
      <xdr:row>15</xdr:row>
      <xdr:rowOff>180360</xdr:rowOff>
    </xdr:to>
    <xdr:sp>
      <xdr:nvSpPr>
        <xdr:cNvPr id="5" name="CustomShape 1"/>
        <xdr:cNvSpPr/>
      </xdr:nvSpPr>
      <xdr:spPr>
        <a:xfrm>
          <a:off x="209520" y="2790720"/>
          <a:ext cx="351720" cy="294480"/>
        </a:xfrm>
        <a:prstGeom prst="ellipse">
          <a:avLst/>
        </a:prstGeom>
        <a:solidFill>
          <a:srgbClr val="ff0000"/>
        </a:solidFill>
        <a:ln>
          <a:noFill/>
        </a:ln>
      </xdr:spPr>
      <xdr:style>
        <a:lnRef idx="2">
          <a:schemeClr val="dk1">
            <a:shade val="50000"/>
          </a:schemeClr>
        </a:lnRef>
        <a:fillRef idx="1">
          <a:schemeClr val="dk1"/>
        </a:fillRef>
        <a:effectRef idx="0">
          <a:schemeClr val="dk1"/>
        </a:effectRef>
        <a:fontRef idx="minor"/>
      </xdr:style>
      <xdr:txBody>
        <a:bodyPr lIns="90000" rIns="90000" tIns="45000" bIns="45000" anchor="ctr"/>
        <a:p>
          <a:pPr algn="ctr">
            <a:lnSpc>
              <a:spcPct val="100000"/>
            </a:lnSpc>
          </a:pPr>
          <a:r>
            <a:rPr b="0" lang="en-IN" sz="1200" spc="-1" strike="noStrike">
              <a:solidFill>
                <a:srgbClr val="ffffff"/>
              </a:solidFill>
              <a:uFill>
                <a:solidFill>
                  <a:srgbClr val="ffffff"/>
                </a:solidFill>
              </a:uFill>
              <a:latin typeface="Calibri"/>
            </a:rPr>
            <a:t>5</a:t>
          </a:r>
          <a:endParaRPr b="0" lang="en-IN" sz="1200" spc="-1" strike="noStrike">
            <a:solidFill>
              <a:srgbClr val="000000"/>
            </a:solidFill>
            <a:uFill>
              <a:solidFill>
                <a:srgbClr val="ffffff"/>
              </a:solidFill>
            </a:uFill>
            <a:latin typeface="Times New Roman"/>
          </a:endParaRPr>
        </a:p>
      </xdr:txBody>
    </xdr:sp>
    <xdr:clientData/>
  </xdr:twoCellAnchor>
  <xdr:twoCellAnchor editAs="oneCell">
    <xdr:from>
      <xdr:col>12</xdr:col>
      <xdr:colOff>209520</xdr:colOff>
      <xdr:row>14</xdr:row>
      <xdr:rowOff>85680</xdr:rowOff>
    </xdr:from>
    <xdr:to>
      <xdr:col>12</xdr:col>
      <xdr:colOff>561240</xdr:colOff>
      <xdr:row>15</xdr:row>
      <xdr:rowOff>180360</xdr:rowOff>
    </xdr:to>
    <xdr:sp>
      <xdr:nvSpPr>
        <xdr:cNvPr id="6" name="CustomShape 1"/>
        <xdr:cNvSpPr/>
      </xdr:nvSpPr>
      <xdr:spPr>
        <a:xfrm>
          <a:off x="8686440" y="2790720"/>
          <a:ext cx="351720" cy="294480"/>
        </a:xfrm>
        <a:prstGeom prst="ellipse">
          <a:avLst/>
        </a:prstGeom>
        <a:solidFill>
          <a:srgbClr val="ff0000"/>
        </a:solidFill>
        <a:ln>
          <a:noFill/>
        </a:ln>
      </xdr:spPr>
      <xdr:style>
        <a:lnRef idx="2">
          <a:schemeClr val="dk1">
            <a:shade val="50000"/>
          </a:schemeClr>
        </a:lnRef>
        <a:fillRef idx="1">
          <a:schemeClr val="dk1"/>
        </a:fillRef>
        <a:effectRef idx="0">
          <a:schemeClr val="dk1"/>
        </a:effectRef>
        <a:fontRef idx="minor"/>
      </xdr:style>
      <xdr:txBody>
        <a:bodyPr lIns="90000" rIns="90000" tIns="45000" bIns="45000" anchor="ctr"/>
        <a:p>
          <a:pPr algn="ctr">
            <a:lnSpc>
              <a:spcPct val="100000"/>
            </a:lnSpc>
          </a:pPr>
          <a:r>
            <a:rPr b="0" lang="en-IN" sz="1200" spc="-1" strike="noStrike">
              <a:solidFill>
                <a:srgbClr val="ffffff"/>
              </a:solidFill>
              <a:uFill>
                <a:solidFill>
                  <a:srgbClr val="ffffff"/>
                </a:solidFill>
              </a:uFill>
              <a:latin typeface="Calibri"/>
            </a:rPr>
            <a:t>6</a:t>
          </a:r>
          <a:endParaRPr b="0" lang="en-IN" sz="1200" spc="-1" strike="noStrike">
            <a:solidFill>
              <a:srgbClr val="000000"/>
            </a:solidFill>
            <a:uFill>
              <a:solidFill>
                <a:srgbClr val="ffffff"/>
              </a:solidFill>
            </a:uFill>
            <a:latin typeface="Times New Roman"/>
          </a:endParaRPr>
        </a:p>
      </xdr:txBody>
    </xdr:sp>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absolute">
    <xdr:from>
      <xdr:col>14</xdr:col>
      <xdr:colOff>136080</xdr:colOff>
      <xdr:row>4</xdr:row>
      <xdr:rowOff>39240</xdr:rowOff>
    </xdr:from>
    <xdr:to>
      <xdr:col>15</xdr:col>
      <xdr:colOff>101520</xdr:colOff>
      <xdr:row>5</xdr:row>
      <xdr:rowOff>128520</xdr:rowOff>
    </xdr:to>
    <xdr:sp>
      <xdr:nvSpPr>
        <xdr:cNvPr id="7" name="CustomShape 1"/>
        <xdr:cNvSpPr/>
      </xdr:nvSpPr>
      <xdr:spPr>
        <a:xfrm>
          <a:off x="11299320" y="734400"/>
          <a:ext cx="727200" cy="289440"/>
        </a:xfrm>
        <a:prstGeom prst="rect">
          <a:avLst/>
        </a:prstGeom>
        <a:no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p>
          <a:pPr>
            <a:lnSpc>
              <a:spcPct val="100000"/>
            </a:lnSpc>
          </a:pPr>
          <a:r>
            <a:rPr b="1" lang="en-IN" sz="1200" spc="-1" strike="noStrike">
              <a:solidFill>
                <a:srgbClr val="ff0000"/>
              </a:solidFill>
              <a:uFill>
                <a:solidFill>
                  <a:srgbClr val="ffffff"/>
                </a:solidFill>
              </a:uFill>
              <a:latin typeface="Times New Roman"/>
            </a:rPr>
            <a:t>Home</a:t>
          </a:r>
          <a:endParaRPr b="0" lang="en-IN" sz="1200" spc="-1" strike="noStrike">
            <a:solidFill>
              <a:srgbClr val="000000"/>
            </a:solidFill>
            <a:uFill>
              <a:solidFill>
                <a:srgbClr val="ffffff"/>
              </a:solidFill>
            </a:uFill>
            <a:latin typeface="Times New Roman"/>
          </a:endParaRPr>
        </a:p>
        <a:p>
          <a:pPr>
            <a:lnSpc>
              <a:spcPct val="100000"/>
            </a:lnSpc>
          </a:pPr>
          <a:endParaRPr b="0" lang="en-IN" sz="1200" spc="-1" strike="noStrike">
            <a:solidFill>
              <a:srgbClr val="000000"/>
            </a:solidFill>
            <a:uFill>
              <a:solidFill>
                <a:srgbClr val="ffffff"/>
              </a:solidFill>
            </a:uFill>
            <a:latin typeface="Times New Roman"/>
          </a:endParaRPr>
        </a:p>
      </xdr:txBody>
    </xdr:sp>
    <xdr:clientData/>
  </xdr:twoCellAnchor>
  <xdr:twoCellAnchor editAs="absolute">
    <xdr:from>
      <xdr:col>14</xdr:col>
      <xdr:colOff>153360</xdr:colOff>
      <xdr:row>1</xdr:row>
      <xdr:rowOff>95400</xdr:rowOff>
    </xdr:from>
    <xdr:to>
      <xdr:col>15</xdr:col>
      <xdr:colOff>48240</xdr:colOff>
      <xdr:row>4</xdr:row>
      <xdr:rowOff>120240</xdr:rowOff>
    </xdr:to>
    <xdr:pic>
      <xdr:nvPicPr>
        <xdr:cNvPr id="8" name="Picture 1" descr=""/>
        <xdr:cNvPicPr/>
      </xdr:nvPicPr>
      <xdr:blipFill>
        <a:blip r:embed="rId1"/>
        <a:stretch/>
      </xdr:blipFill>
      <xdr:spPr>
        <a:xfrm>
          <a:off x="11316600" y="285840"/>
          <a:ext cx="656640" cy="529560"/>
        </a:xfrm>
        <a:prstGeom prst="rect">
          <a:avLst/>
        </a:prstGeom>
        <a:ln>
          <a:noFill/>
        </a:ln>
      </xdr:spPr>
    </xdr:pic>
    <xdr:clientData/>
  </xdr:twoCellAnchor>
  <xdr:twoCellAnchor editAs="oneCell">
    <xdr:from>
      <xdr:col>1</xdr:col>
      <xdr:colOff>176760</xdr:colOff>
      <xdr:row>1</xdr:row>
      <xdr:rowOff>61200</xdr:rowOff>
    </xdr:from>
    <xdr:to>
      <xdr:col>4</xdr:col>
      <xdr:colOff>11160</xdr:colOff>
      <xdr:row>3</xdr:row>
      <xdr:rowOff>132480</xdr:rowOff>
    </xdr:to>
    <xdr:pic>
      <xdr:nvPicPr>
        <xdr:cNvPr id="9" name="Picture 4" descr=""/>
        <xdr:cNvPicPr/>
      </xdr:nvPicPr>
      <xdr:blipFill>
        <a:blip r:embed="rId2"/>
        <a:stretch/>
      </xdr:blipFill>
      <xdr:spPr>
        <a:xfrm>
          <a:off x="500400" y="251640"/>
          <a:ext cx="1682280" cy="375840"/>
        </a:xfrm>
        <a:prstGeom prst="rect">
          <a:avLst/>
        </a:prstGeom>
        <a:ln>
          <a:noFill/>
        </a:ln>
      </xdr:spPr>
    </xdr:pic>
    <xdr:clientData/>
  </xdr:twoCellAnchor>
  <xdr:twoCellAnchor editAs="oneCell">
    <xdr:from>
      <xdr:col>13</xdr:col>
      <xdr:colOff>251640</xdr:colOff>
      <xdr:row>17</xdr:row>
      <xdr:rowOff>74880</xdr:rowOff>
    </xdr:from>
    <xdr:to>
      <xdr:col>15</xdr:col>
      <xdr:colOff>352800</xdr:colOff>
      <xdr:row>20</xdr:row>
      <xdr:rowOff>81000</xdr:rowOff>
    </xdr:to>
    <xdr:sp>
      <xdr:nvSpPr>
        <xdr:cNvPr id="10" name="CustomShape 1"/>
        <xdr:cNvSpPr/>
      </xdr:nvSpPr>
      <xdr:spPr>
        <a:xfrm>
          <a:off x="10652760" y="3122640"/>
          <a:ext cx="1625040" cy="577800"/>
        </a:xfrm>
        <a:prstGeom prst="rect">
          <a:avLst/>
        </a:prstGeom>
        <a:solidFill>
          <a:srgbClr val="ffffff"/>
        </a:solidFill>
        <a:ln>
          <a:solidFill>
            <a:srgbClr val="ffffff"/>
          </a:solidFill>
        </a:ln>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13</xdr:col>
      <xdr:colOff>378360</xdr:colOff>
      <xdr:row>24</xdr:row>
      <xdr:rowOff>83160</xdr:rowOff>
    </xdr:from>
    <xdr:to>
      <xdr:col>15</xdr:col>
      <xdr:colOff>471600</xdr:colOff>
      <xdr:row>27</xdr:row>
      <xdr:rowOff>89280</xdr:rowOff>
    </xdr:to>
    <xdr:sp>
      <xdr:nvSpPr>
        <xdr:cNvPr id="11" name="CustomShape 1"/>
        <xdr:cNvSpPr/>
      </xdr:nvSpPr>
      <xdr:spPr>
        <a:xfrm>
          <a:off x="10779480" y="4464360"/>
          <a:ext cx="1617120" cy="577800"/>
        </a:xfrm>
        <a:prstGeom prst="rect">
          <a:avLst/>
        </a:prstGeom>
        <a:solidFill>
          <a:srgbClr val="ffffff"/>
        </a:solidFill>
        <a:ln>
          <a:solidFill>
            <a:srgbClr val="ffffff"/>
          </a:solidFill>
        </a:ln>
      </xdr:spPr>
      <xdr:style>
        <a:lnRef idx="2">
          <a:schemeClr val="accent1">
            <a:shade val="50000"/>
          </a:schemeClr>
        </a:lnRef>
        <a:fillRef idx="1">
          <a:schemeClr val="accent1"/>
        </a:fillRef>
        <a:effectRef idx="0">
          <a:schemeClr val="accent1"/>
        </a:effectRef>
        <a:fontRef idx="minor"/>
      </xdr:style>
    </xdr:sp>
    <xdr:clientData/>
  </xdr:twoCellAnchor>
  <xdr:twoCellAnchor editAs="absolute">
    <xdr:from>
      <xdr:col>14</xdr:col>
      <xdr:colOff>230040</xdr:colOff>
      <xdr:row>6</xdr:row>
      <xdr:rowOff>142920</xdr:rowOff>
    </xdr:from>
    <xdr:to>
      <xdr:col>15</xdr:col>
      <xdr:colOff>42840</xdr:colOff>
      <xdr:row>9</xdr:row>
      <xdr:rowOff>6480</xdr:rowOff>
    </xdr:to>
    <xdr:pic>
      <xdr:nvPicPr>
        <xdr:cNvPr id="12" name="Picture 19" descr=""/>
        <xdr:cNvPicPr/>
      </xdr:nvPicPr>
      <xdr:blipFill>
        <a:blip r:embed="rId3"/>
        <a:stretch/>
      </xdr:blipFill>
      <xdr:spPr>
        <a:xfrm>
          <a:off x="11393280" y="1238040"/>
          <a:ext cx="574560" cy="463680"/>
        </a:xfrm>
        <a:prstGeom prst="rect">
          <a:avLst/>
        </a:prstGeom>
        <a:ln>
          <a:noFill/>
        </a:ln>
      </xdr:spPr>
    </xdr:pic>
    <xdr:clientData/>
  </xdr:twoCellAnchor>
  <xdr:twoCellAnchor editAs="absolute">
    <xdr:from>
      <xdr:col>14</xdr:col>
      <xdr:colOff>169920</xdr:colOff>
      <xdr:row>8</xdr:row>
      <xdr:rowOff>157680</xdr:rowOff>
    </xdr:from>
    <xdr:to>
      <xdr:col>15</xdr:col>
      <xdr:colOff>135360</xdr:colOff>
      <xdr:row>10</xdr:row>
      <xdr:rowOff>46800</xdr:rowOff>
    </xdr:to>
    <xdr:sp>
      <xdr:nvSpPr>
        <xdr:cNvPr id="13" name="CustomShape 1"/>
        <xdr:cNvSpPr/>
      </xdr:nvSpPr>
      <xdr:spPr>
        <a:xfrm>
          <a:off x="11333160" y="1652760"/>
          <a:ext cx="727200" cy="289440"/>
        </a:xfrm>
        <a:prstGeom prst="rect">
          <a:avLst/>
        </a:prstGeom>
        <a:no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p>
          <a:pPr>
            <a:lnSpc>
              <a:spcPct val="100000"/>
            </a:lnSpc>
          </a:pPr>
          <a:r>
            <a:rPr b="1" lang="en-IN" sz="1200" spc="-1" strike="noStrike">
              <a:solidFill>
                <a:srgbClr val="ff0000"/>
              </a:solidFill>
              <a:uFill>
                <a:solidFill>
                  <a:srgbClr val="ffffff"/>
                </a:solidFill>
              </a:uFill>
              <a:latin typeface="Times New Roman"/>
            </a:rPr>
            <a:t>Print</a:t>
          </a:r>
          <a:endParaRPr b="0" lang="en-IN" sz="1200" spc="-1" strike="noStrike">
            <a:solidFill>
              <a:srgbClr val="000000"/>
            </a:solidFill>
            <a:uFill>
              <a:solidFill>
                <a:srgbClr val="ffffff"/>
              </a:solidFill>
            </a:uFill>
            <a:latin typeface="Times New Roman"/>
          </a:endParaRPr>
        </a:p>
      </xdr:txBody>
    </xdr:sp>
    <xdr:clientData/>
  </xdr:twoCellAnchor>
  <xdr:twoCellAnchor editAs="absolute">
    <xdr:from>
      <xdr:col>15</xdr:col>
      <xdr:colOff>415080</xdr:colOff>
      <xdr:row>2</xdr:row>
      <xdr:rowOff>0</xdr:rowOff>
    </xdr:from>
    <xdr:to>
      <xdr:col>16</xdr:col>
      <xdr:colOff>387360</xdr:colOff>
      <xdr:row>4</xdr:row>
      <xdr:rowOff>200520</xdr:rowOff>
    </xdr:to>
    <xdr:pic>
      <xdr:nvPicPr>
        <xdr:cNvPr id="14" name="Picture 23" descr=""/>
        <xdr:cNvPicPr/>
      </xdr:nvPicPr>
      <xdr:blipFill>
        <a:blip r:embed="rId4"/>
        <a:stretch/>
      </xdr:blipFill>
      <xdr:spPr>
        <a:xfrm>
          <a:off x="12340080" y="295200"/>
          <a:ext cx="734400" cy="600480"/>
        </a:xfrm>
        <a:prstGeom prst="rect">
          <a:avLst/>
        </a:prstGeom>
        <a:ln>
          <a:noFill/>
        </a:ln>
      </xdr:spPr>
    </xdr:pic>
    <xdr:clientData/>
  </xdr:twoCellAnchor>
  <xdr:twoCellAnchor editAs="absolute">
    <xdr:from>
      <xdr:col>15</xdr:col>
      <xdr:colOff>482400</xdr:colOff>
      <xdr:row>4</xdr:row>
      <xdr:rowOff>40320</xdr:rowOff>
    </xdr:from>
    <xdr:to>
      <xdr:col>16</xdr:col>
      <xdr:colOff>434880</xdr:colOff>
      <xdr:row>5</xdr:row>
      <xdr:rowOff>128520</xdr:rowOff>
    </xdr:to>
    <xdr:sp>
      <xdr:nvSpPr>
        <xdr:cNvPr id="15" name="CustomShape 1"/>
        <xdr:cNvSpPr/>
      </xdr:nvSpPr>
      <xdr:spPr>
        <a:xfrm>
          <a:off x="12407400" y="735480"/>
          <a:ext cx="714600" cy="288360"/>
        </a:xfrm>
        <a:prstGeom prst="rect">
          <a:avLst/>
        </a:prstGeom>
        <a:no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p>
          <a:pPr>
            <a:lnSpc>
              <a:spcPct val="100000"/>
            </a:lnSpc>
          </a:pPr>
          <a:r>
            <a:rPr b="1" lang="en-IN" sz="1200" spc="-1" strike="noStrike">
              <a:solidFill>
                <a:srgbClr val="ff0000"/>
              </a:solidFill>
              <a:uFill>
                <a:solidFill>
                  <a:srgbClr val="ffffff"/>
                </a:solidFill>
              </a:uFill>
              <a:latin typeface="Times New Roman"/>
            </a:rPr>
            <a:t>Save</a:t>
          </a:r>
          <a:endParaRPr b="0" lang="en-IN" sz="1200" spc="-1" strike="noStrike">
            <a:solidFill>
              <a:srgbClr val="000000"/>
            </a:solidFill>
            <a:uFill>
              <a:solidFill>
                <a:srgbClr val="ffffff"/>
              </a:solidFill>
            </a:uFill>
            <a:latin typeface="Times New Roman"/>
          </a:endParaRPr>
        </a:p>
      </xdr:txBody>
    </xdr: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76680</xdr:colOff>
      <xdr:row>0</xdr:row>
      <xdr:rowOff>76680</xdr:rowOff>
    </xdr:from>
    <xdr:to>
      <xdr:col>2</xdr:col>
      <xdr:colOff>293040</xdr:colOff>
      <xdr:row>3</xdr:row>
      <xdr:rowOff>65520</xdr:rowOff>
    </xdr:to>
    <xdr:sp>
      <xdr:nvSpPr>
        <xdr:cNvPr id="16" name="CustomShape 1"/>
        <xdr:cNvSpPr/>
      </xdr:nvSpPr>
      <xdr:spPr>
        <a:xfrm>
          <a:off x="438480" y="76680"/>
          <a:ext cx="1254600" cy="560160"/>
        </a:xfrm>
        <a:prstGeom prst="leftArrow">
          <a:avLst>
            <a:gd name="adj1" fmla="val 50000"/>
            <a:gd name="adj2" fmla="val 50000"/>
          </a:avLst>
        </a:prstGeom>
        <a:solidFill>
          <a:srgbClr val="ff0000"/>
        </a:solid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p>
          <a:pPr algn="ctr">
            <a:lnSpc>
              <a:spcPct val="100000"/>
            </a:lnSpc>
          </a:pPr>
          <a:r>
            <a:rPr b="1" lang="en-IN" sz="1100" spc="-1" strike="noStrike">
              <a:solidFill>
                <a:srgbClr val="ffffff"/>
              </a:solidFill>
              <a:uFill>
                <a:solidFill>
                  <a:srgbClr val="ffffff"/>
                </a:solidFill>
              </a:uFill>
              <a:latin typeface="Calibri"/>
            </a:rPr>
            <a:t>BACK</a:t>
          </a:r>
          <a:endParaRPr b="0" lang="en-IN" sz="1200" spc="-1" strike="noStrike">
            <a:solidFill>
              <a:srgbClr val="000000"/>
            </a:solidFill>
            <a:uFill>
              <a:solidFill>
                <a:srgbClr val="ffffff"/>
              </a:solidFill>
            </a:uFill>
            <a:latin typeface="Times New Roman"/>
          </a:endParaRPr>
        </a:p>
      </xdr:txBody>
    </xdr:sp>
    <xdr:clientData/>
  </xdr:twoCellAnchor>
</xdr:wsDr>
</file>

<file path=xl/drawings/drawing4.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63360</xdr:colOff>
      <xdr:row>0</xdr:row>
      <xdr:rowOff>84600</xdr:rowOff>
    </xdr:from>
    <xdr:to>
      <xdr:col>1</xdr:col>
      <xdr:colOff>1057320</xdr:colOff>
      <xdr:row>3</xdr:row>
      <xdr:rowOff>73440</xdr:rowOff>
    </xdr:to>
    <xdr:sp>
      <xdr:nvSpPr>
        <xdr:cNvPr id="17" name="CustomShape 1"/>
        <xdr:cNvSpPr/>
      </xdr:nvSpPr>
      <xdr:spPr>
        <a:xfrm>
          <a:off x="539280" y="84600"/>
          <a:ext cx="993960" cy="560160"/>
        </a:xfrm>
        <a:prstGeom prst="leftArrow">
          <a:avLst>
            <a:gd name="adj1" fmla="val 50000"/>
            <a:gd name="adj2" fmla="val 50000"/>
          </a:avLst>
        </a:prstGeom>
        <a:solidFill>
          <a:srgbClr val="ff0000"/>
        </a:solid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p>
          <a:pPr algn="ctr">
            <a:lnSpc>
              <a:spcPct val="100000"/>
            </a:lnSpc>
          </a:pPr>
          <a:r>
            <a:rPr b="1" lang="en-IN" sz="1100" spc="-1" strike="noStrike">
              <a:solidFill>
                <a:srgbClr val="ffffff"/>
              </a:solidFill>
              <a:uFill>
                <a:solidFill>
                  <a:srgbClr val="ffffff"/>
                </a:solidFill>
              </a:uFill>
              <a:latin typeface="Calibri"/>
            </a:rPr>
            <a:t>BACK</a:t>
          </a:r>
          <a:endParaRPr b="0" lang="en-IN" sz="1200" spc="-1" strike="noStrike">
            <a:solidFill>
              <a:srgbClr val="000000"/>
            </a:solidFill>
            <a:uFill>
              <a:solidFill>
                <a:srgbClr val="ffffff"/>
              </a:solidFill>
            </a:uFill>
            <a:latin typeface="Times New Roman"/>
          </a:endParaRPr>
        </a:p>
      </xdr:txBody>
    </xdr:sp>
    <xdr:clientData/>
  </xdr:twoCellAnchor>
</xdr:wsDr>
</file>

<file path=xl/drawings/drawing5.xml><?xml version="1.0" encoding="utf-8"?>
<xdr:wsDr xmlns:xdr="http://schemas.openxmlformats.org/drawingml/2006/spreadsheetDrawing" xmlns:a="http://schemas.openxmlformats.org/drawingml/2006/main" xmlns:r="http://schemas.openxmlformats.org/officeDocument/2006/relationships">
  <xdr:twoCellAnchor editAs="absolute">
    <xdr:from>
      <xdr:col>14</xdr:col>
      <xdr:colOff>136080</xdr:colOff>
      <xdr:row>4</xdr:row>
      <xdr:rowOff>39240</xdr:rowOff>
    </xdr:from>
    <xdr:to>
      <xdr:col>15</xdr:col>
      <xdr:colOff>101520</xdr:colOff>
      <xdr:row>5</xdr:row>
      <xdr:rowOff>128520</xdr:rowOff>
    </xdr:to>
    <xdr:sp>
      <xdr:nvSpPr>
        <xdr:cNvPr id="18" name="CustomShape 1"/>
        <xdr:cNvSpPr/>
      </xdr:nvSpPr>
      <xdr:spPr>
        <a:xfrm>
          <a:off x="11299320" y="734400"/>
          <a:ext cx="727200" cy="289440"/>
        </a:xfrm>
        <a:prstGeom prst="rect">
          <a:avLst/>
        </a:prstGeom>
        <a:no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p>
          <a:pPr>
            <a:lnSpc>
              <a:spcPct val="100000"/>
            </a:lnSpc>
          </a:pPr>
          <a:r>
            <a:rPr b="1" lang="en-IN" sz="1200" spc="-1" strike="noStrike">
              <a:solidFill>
                <a:srgbClr val="ff0000"/>
              </a:solidFill>
              <a:uFill>
                <a:solidFill>
                  <a:srgbClr val="ffffff"/>
                </a:solidFill>
              </a:uFill>
              <a:latin typeface="Times New Roman"/>
            </a:rPr>
            <a:t>Home</a:t>
          </a:r>
          <a:endParaRPr b="0" lang="en-IN" sz="1200" spc="-1" strike="noStrike">
            <a:solidFill>
              <a:srgbClr val="000000"/>
            </a:solidFill>
            <a:uFill>
              <a:solidFill>
                <a:srgbClr val="ffffff"/>
              </a:solidFill>
            </a:uFill>
            <a:latin typeface="Times New Roman"/>
          </a:endParaRPr>
        </a:p>
        <a:p>
          <a:pPr>
            <a:lnSpc>
              <a:spcPct val="100000"/>
            </a:lnSpc>
          </a:pPr>
          <a:endParaRPr b="0" lang="en-IN" sz="1200" spc="-1" strike="noStrike">
            <a:solidFill>
              <a:srgbClr val="000000"/>
            </a:solidFill>
            <a:uFill>
              <a:solidFill>
                <a:srgbClr val="ffffff"/>
              </a:solidFill>
            </a:uFill>
            <a:latin typeface="Times New Roman"/>
          </a:endParaRPr>
        </a:p>
      </xdr:txBody>
    </xdr:sp>
    <xdr:clientData/>
  </xdr:twoCellAnchor>
  <xdr:twoCellAnchor editAs="absolute">
    <xdr:from>
      <xdr:col>14</xdr:col>
      <xdr:colOff>153360</xdr:colOff>
      <xdr:row>1</xdr:row>
      <xdr:rowOff>95400</xdr:rowOff>
    </xdr:from>
    <xdr:to>
      <xdr:col>15</xdr:col>
      <xdr:colOff>48240</xdr:colOff>
      <xdr:row>4</xdr:row>
      <xdr:rowOff>120240</xdr:rowOff>
    </xdr:to>
    <xdr:pic>
      <xdr:nvPicPr>
        <xdr:cNvPr id="19" name="Picture 12" descr=""/>
        <xdr:cNvPicPr/>
      </xdr:nvPicPr>
      <xdr:blipFill>
        <a:blip r:embed="rId1"/>
        <a:stretch/>
      </xdr:blipFill>
      <xdr:spPr>
        <a:xfrm>
          <a:off x="11316600" y="285840"/>
          <a:ext cx="656640" cy="529560"/>
        </a:xfrm>
        <a:prstGeom prst="rect">
          <a:avLst/>
        </a:prstGeom>
        <a:ln>
          <a:noFill/>
        </a:ln>
      </xdr:spPr>
    </xdr:pic>
    <xdr:clientData/>
  </xdr:twoCellAnchor>
  <xdr:twoCellAnchor editAs="oneCell">
    <xdr:from>
      <xdr:col>1</xdr:col>
      <xdr:colOff>176760</xdr:colOff>
      <xdr:row>1</xdr:row>
      <xdr:rowOff>61200</xdr:rowOff>
    </xdr:from>
    <xdr:to>
      <xdr:col>4</xdr:col>
      <xdr:colOff>11160</xdr:colOff>
      <xdr:row>3</xdr:row>
      <xdr:rowOff>132480</xdr:rowOff>
    </xdr:to>
    <xdr:pic>
      <xdr:nvPicPr>
        <xdr:cNvPr id="20" name="Picture 14" descr=""/>
        <xdr:cNvPicPr/>
      </xdr:nvPicPr>
      <xdr:blipFill>
        <a:blip r:embed="rId2"/>
        <a:stretch/>
      </xdr:blipFill>
      <xdr:spPr>
        <a:xfrm>
          <a:off x="500400" y="251640"/>
          <a:ext cx="1682280" cy="375840"/>
        </a:xfrm>
        <a:prstGeom prst="rect">
          <a:avLst/>
        </a:prstGeom>
        <a:ln>
          <a:noFill/>
        </a:ln>
      </xdr:spPr>
    </xdr:pic>
    <xdr:clientData/>
  </xdr:twoCellAnchor>
  <xdr:twoCellAnchor editAs="oneCell">
    <xdr:from>
      <xdr:col>13</xdr:col>
      <xdr:colOff>93960</xdr:colOff>
      <xdr:row>18</xdr:row>
      <xdr:rowOff>108720</xdr:rowOff>
    </xdr:from>
    <xdr:to>
      <xdr:col>15</xdr:col>
      <xdr:colOff>170640</xdr:colOff>
      <xdr:row>21</xdr:row>
      <xdr:rowOff>74160</xdr:rowOff>
    </xdr:to>
    <xdr:sp>
      <xdr:nvSpPr>
        <xdr:cNvPr id="21" name="CustomShape 1"/>
        <xdr:cNvSpPr/>
      </xdr:nvSpPr>
      <xdr:spPr>
        <a:xfrm>
          <a:off x="10495080" y="3318480"/>
          <a:ext cx="1600560" cy="536760"/>
        </a:xfrm>
        <a:prstGeom prst="rect">
          <a:avLst/>
        </a:prstGeom>
        <a:solidFill>
          <a:srgbClr val="ffffff"/>
        </a:solidFill>
        <a:ln>
          <a:noFill/>
        </a:ln>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13</xdr:col>
      <xdr:colOff>125280</xdr:colOff>
      <xdr:row>23</xdr:row>
      <xdr:rowOff>64080</xdr:rowOff>
    </xdr:from>
    <xdr:to>
      <xdr:col>15</xdr:col>
      <xdr:colOff>199440</xdr:colOff>
      <xdr:row>26</xdr:row>
      <xdr:rowOff>29520</xdr:rowOff>
    </xdr:to>
    <xdr:sp>
      <xdr:nvSpPr>
        <xdr:cNvPr id="22" name="CustomShape 1"/>
        <xdr:cNvSpPr/>
      </xdr:nvSpPr>
      <xdr:spPr>
        <a:xfrm>
          <a:off x="10526400" y="4226400"/>
          <a:ext cx="1598040" cy="536760"/>
        </a:xfrm>
        <a:prstGeom prst="rect">
          <a:avLst/>
        </a:prstGeom>
        <a:solidFill>
          <a:srgbClr val="ffffff"/>
        </a:solidFill>
        <a:ln>
          <a:noFill/>
        </a:ln>
      </xdr:spPr>
      <xdr:style>
        <a:lnRef idx="2">
          <a:schemeClr val="accent1">
            <a:shade val="50000"/>
          </a:schemeClr>
        </a:lnRef>
        <a:fillRef idx="1">
          <a:schemeClr val="accent1"/>
        </a:fillRef>
        <a:effectRef idx="0">
          <a:schemeClr val="accent1"/>
        </a:effectRef>
        <a:fontRef idx="minor"/>
      </xdr:style>
    </xdr:sp>
    <xdr:clientData/>
  </xdr:twoCellAnchor>
  <xdr:twoCellAnchor editAs="absolute">
    <xdr:from>
      <xdr:col>14</xdr:col>
      <xdr:colOff>230040</xdr:colOff>
      <xdr:row>6</xdr:row>
      <xdr:rowOff>142920</xdr:rowOff>
    </xdr:from>
    <xdr:to>
      <xdr:col>15</xdr:col>
      <xdr:colOff>42840</xdr:colOff>
      <xdr:row>9</xdr:row>
      <xdr:rowOff>6480</xdr:rowOff>
    </xdr:to>
    <xdr:pic>
      <xdr:nvPicPr>
        <xdr:cNvPr id="23" name="Picture 19" descr=""/>
        <xdr:cNvPicPr/>
      </xdr:nvPicPr>
      <xdr:blipFill>
        <a:blip r:embed="rId3"/>
        <a:stretch/>
      </xdr:blipFill>
      <xdr:spPr>
        <a:xfrm>
          <a:off x="11393280" y="1238040"/>
          <a:ext cx="574560" cy="463680"/>
        </a:xfrm>
        <a:prstGeom prst="rect">
          <a:avLst/>
        </a:prstGeom>
        <a:ln>
          <a:noFill/>
        </a:ln>
      </xdr:spPr>
    </xdr:pic>
    <xdr:clientData/>
  </xdr:twoCellAnchor>
  <xdr:twoCellAnchor editAs="absolute">
    <xdr:from>
      <xdr:col>14</xdr:col>
      <xdr:colOff>169920</xdr:colOff>
      <xdr:row>8</xdr:row>
      <xdr:rowOff>157680</xdr:rowOff>
    </xdr:from>
    <xdr:to>
      <xdr:col>15</xdr:col>
      <xdr:colOff>135360</xdr:colOff>
      <xdr:row>10</xdr:row>
      <xdr:rowOff>46800</xdr:rowOff>
    </xdr:to>
    <xdr:sp>
      <xdr:nvSpPr>
        <xdr:cNvPr id="24" name="CustomShape 1"/>
        <xdr:cNvSpPr/>
      </xdr:nvSpPr>
      <xdr:spPr>
        <a:xfrm>
          <a:off x="11333160" y="1652760"/>
          <a:ext cx="727200" cy="289440"/>
        </a:xfrm>
        <a:prstGeom prst="rect">
          <a:avLst/>
        </a:prstGeom>
        <a:no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p>
          <a:pPr>
            <a:lnSpc>
              <a:spcPct val="100000"/>
            </a:lnSpc>
          </a:pPr>
          <a:r>
            <a:rPr b="1" lang="en-IN" sz="1200" spc="-1" strike="noStrike">
              <a:solidFill>
                <a:srgbClr val="ff0000"/>
              </a:solidFill>
              <a:uFill>
                <a:solidFill>
                  <a:srgbClr val="ffffff"/>
                </a:solidFill>
              </a:uFill>
              <a:latin typeface="Times New Roman"/>
            </a:rPr>
            <a:t>Print</a:t>
          </a:r>
          <a:endParaRPr b="0" lang="en-IN" sz="1200" spc="-1" strike="noStrike">
            <a:solidFill>
              <a:srgbClr val="000000"/>
            </a:solidFill>
            <a:uFill>
              <a:solidFill>
                <a:srgbClr val="ffffff"/>
              </a:solidFill>
            </a:uFill>
            <a:latin typeface="Times New Roman"/>
          </a:endParaRPr>
        </a:p>
      </xdr:txBody>
    </xdr:sp>
    <xdr:clientData/>
  </xdr:twoCellAnchor>
  <xdr:twoCellAnchor editAs="absolute">
    <xdr:from>
      <xdr:col>15</xdr:col>
      <xdr:colOff>421920</xdr:colOff>
      <xdr:row>2</xdr:row>
      <xdr:rowOff>0</xdr:rowOff>
    </xdr:from>
    <xdr:to>
      <xdr:col>16</xdr:col>
      <xdr:colOff>394200</xdr:colOff>
      <xdr:row>4</xdr:row>
      <xdr:rowOff>200520</xdr:rowOff>
    </xdr:to>
    <xdr:pic>
      <xdr:nvPicPr>
        <xdr:cNvPr id="25" name="Picture 2" descr=""/>
        <xdr:cNvPicPr/>
      </xdr:nvPicPr>
      <xdr:blipFill>
        <a:blip r:embed="rId4"/>
        <a:stretch/>
      </xdr:blipFill>
      <xdr:spPr>
        <a:xfrm>
          <a:off x="12346920" y="295200"/>
          <a:ext cx="734400" cy="600480"/>
        </a:xfrm>
        <a:prstGeom prst="rect">
          <a:avLst/>
        </a:prstGeom>
        <a:ln>
          <a:noFill/>
        </a:ln>
      </xdr:spPr>
    </xdr:pic>
    <xdr:clientData/>
  </xdr:twoCellAnchor>
  <xdr:twoCellAnchor editAs="absolute">
    <xdr:from>
      <xdr:col>15</xdr:col>
      <xdr:colOff>489240</xdr:colOff>
      <xdr:row>4</xdr:row>
      <xdr:rowOff>40320</xdr:rowOff>
    </xdr:from>
    <xdr:to>
      <xdr:col>16</xdr:col>
      <xdr:colOff>441720</xdr:colOff>
      <xdr:row>5</xdr:row>
      <xdr:rowOff>128520</xdr:rowOff>
    </xdr:to>
    <xdr:sp>
      <xdr:nvSpPr>
        <xdr:cNvPr id="26" name="CustomShape 1"/>
        <xdr:cNvSpPr/>
      </xdr:nvSpPr>
      <xdr:spPr>
        <a:xfrm>
          <a:off x="12414240" y="735480"/>
          <a:ext cx="714600" cy="288360"/>
        </a:xfrm>
        <a:prstGeom prst="rect">
          <a:avLst/>
        </a:prstGeom>
        <a:no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p>
          <a:pPr>
            <a:lnSpc>
              <a:spcPct val="100000"/>
            </a:lnSpc>
          </a:pPr>
          <a:r>
            <a:rPr b="1" lang="en-IN" sz="1200" spc="-1" strike="noStrike">
              <a:solidFill>
                <a:srgbClr val="ff0000"/>
              </a:solidFill>
              <a:uFill>
                <a:solidFill>
                  <a:srgbClr val="ffffff"/>
                </a:solidFill>
              </a:uFill>
              <a:latin typeface="Times New Roman"/>
            </a:rPr>
            <a:t>Save</a:t>
          </a:r>
          <a:endParaRPr b="0" lang="en-IN" sz="1200" spc="-1" strike="noStrike">
            <a:solidFill>
              <a:srgbClr val="000000"/>
            </a:solidFill>
            <a:uFill>
              <a:solidFill>
                <a:srgbClr val="ffffff"/>
              </a:solidFill>
            </a:uFill>
            <a:latin typeface="Times New Roman"/>
          </a:endParaRPr>
        </a:p>
      </xdr:txBody>
    </xdr:sp>
    <xdr:clientData/>
  </xdr:twoCellAnchor>
</xdr:wsDr>
</file>

<file path=xl/drawings/drawing6.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76680</xdr:colOff>
      <xdr:row>0</xdr:row>
      <xdr:rowOff>76680</xdr:rowOff>
    </xdr:from>
    <xdr:to>
      <xdr:col>2</xdr:col>
      <xdr:colOff>293040</xdr:colOff>
      <xdr:row>3</xdr:row>
      <xdr:rowOff>65520</xdr:rowOff>
    </xdr:to>
    <xdr:sp>
      <xdr:nvSpPr>
        <xdr:cNvPr id="27" name="CustomShape 1"/>
        <xdr:cNvSpPr/>
      </xdr:nvSpPr>
      <xdr:spPr>
        <a:xfrm>
          <a:off x="438480" y="76680"/>
          <a:ext cx="1254600" cy="560160"/>
        </a:xfrm>
        <a:prstGeom prst="leftArrow">
          <a:avLst>
            <a:gd name="adj1" fmla="val 50000"/>
            <a:gd name="adj2" fmla="val 50000"/>
          </a:avLst>
        </a:prstGeom>
        <a:solidFill>
          <a:srgbClr val="ff0000"/>
        </a:solid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p>
          <a:pPr algn="ctr">
            <a:lnSpc>
              <a:spcPct val="100000"/>
            </a:lnSpc>
          </a:pPr>
          <a:r>
            <a:rPr b="1" lang="en-IN" sz="1100" spc="-1" strike="noStrike">
              <a:solidFill>
                <a:srgbClr val="ffffff"/>
              </a:solidFill>
              <a:uFill>
                <a:solidFill>
                  <a:srgbClr val="ffffff"/>
                </a:solidFill>
              </a:uFill>
              <a:latin typeface="Calibri"/>
            </a:rPr>
            <a:t>BACK</a:t>
          </a:r>
          <a:endParaRPr b="0" lang="en-IN" sz="1200" spc="-1" strike="noStrike">
            <a:solidFill>
              <a:srgbClr val="000000"/>
            </a:solidFill>
            <a:uFill>
              <a:solidFill>
                <a:srgbClr val="ffffff"/>
              </a:solidFill>
            </a:uFill>
            <a:latin typeface="Times New Roman"/>
          </a:endParaRPr>
        </a:p>
      </xdr:txBody>
    </xdr:sp>
    <xdr:clientData/>
  </xdr:twoCellAnchor>
</xdr:wsDr>
</file>

<file path=xl/drawings/drawing7.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63360</xdr:colOff>
      <xdr:row>0</xdr:row>
      <xdr:rowOff>84600</xdr:rowOff>
    </xdr:from>
    <xdr:to>
      <xdr:col>1</xdr:col>
      <xdr:colOff>1057320</xdr:colOff>
      <xdr:row>3</xdr:row>
      <xdr:rowOff>73440</xdr:rowOff>
    </xdr:to>
    <xdr:sp>
      <xdr:nvSpPr>
        <xdr:cNvPr id="28" name="CustomShape 1"/>
        <xdr:cNvSpPr/>
      </xdr:nvSpPr>
      <xdr:spPr>
        <a:xfrm>
          <a:off x="539280" y="84600"/>
          <a:ext cx="993960" cy="560160"/>
        </a:xfrm>
        <a:prstGeom prst="leftArrow">
          <a:avLst>
            <a:gd name="adj1" fmla="val 50000"/>
            <a:gd name="adj2" fmla="val 50000"/>
          </a:avLst>
        </a:prstGeom>
        <a:solidFill>
          <a:srgbClr val="ff0000"/>
        </a:solid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p>
          <a:pPr algn="ctr">
            <a:lnSpc>
              <a:spcPct val="100000"/>
            </a:lnSpc>
          </a:pPr>
          <a:r>
            <a:rPr b="1" lang="en-IN" sz="1100" spc="-1" strike="noStrike">
              <a:solidFill>
                <a:srgbClr val="ffffff"/>
              </a:solidFill>
              <a:uFill>
                <a:solidFill>
                  <a:srgbClr val="ffffff"/>
                </a:solidFill>
              </a:uFill>
              <a:latin typeface="Calibri"/>
            </a:rPr>
            <a:t>BACK</a:t>
          </a:r>
          <a:endParaRPr b="0" lang="en-IN" sz="1200" spc="-1" strike="noStrike">
            <a:solidFill>
              <a:srgbClr val="000000"/>
            </a:solidFill>
            <a:uFill>
              <a:solidFill>
                <a:srgbClr val="ffffff"/>
              </a:solidFill>
            </a:uFill>
            <a:latin typeface="Times New Roman"/>
          </a:endParaRPr>
        </a:p>
      </xdr:txBody>
    </xdr:sp>
    <xdr:clientData/>
  </xdr:twoCellAnchor>
</xdr:wsDr>
</file>

<file path=xl/drawings/drawing8.xml><?xml version="1.0" encoding="utf-8"?>
<xdr:wsDr xmlns:xdr="http://schemas.openxmlformats.org/drawingml/2006/spreadsheetDrawing" xmlns:a="http://schemas.openxmlformats.org/drawingml/2006/main" xmlns:r="http://schemas.openxmlformats.org/officeDocument/2006/relationships">
  <xdr:twoCellAnchor editAs="absolute">
    <xdr:from>
      <xdr:col>14</xdr:col>
      <xdr:colOff>136080</xdr:colOff>
      <xdr:row>4</xdr:row>
      <xdr:rowOff>37080</xdr:rowOff>
    </xdr:from>
    <xdr:to>
      <xdr:col>15</xdr:col>
      <xdr:colOff>101520</xdr:colOff>
      <xdr:row>5</xdr:row>
      <xdr:rowOff>128520</xdr:rowOff>
    </xdr:to>
    <xdr:sp>
      <xdr:nvSpPr>
        <xdr:cNvPr id="29" name="CustomShape 1"/>
        <xdr:cNvSpPr/>
      </xdr:nvSpPr>
      <xdr:spPr>
        <a:xfrm>
          <a:off x="11394360" y="722880"/>
          <a:ext cx="727560" cy="281880"/>
        </a:xfrm>
        <a:prstGeom prst="rect">
          <a:avLst/>
        </a:prstGeom>
        <a:no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p>
          <a:pPr>
            <a:lnSpc>
              <a:spcPct val="100000"/>
            </a:lnSpc>
          </a:pPr>
          <a:r>
            <a:rPr b="1" lang="en-IN" sz="1200" spc="-1" strike="noStrike">
              <a:solidFill>
                <a:srgbClr val="ff0000"/>
              </a:solidFill>
              <a:uFill>
                <a:solidFill>
                  <a:srgbClr val="ffffff"/>
                </a:solidFill>
              </a:uFill>
              <a:latin typeface="Times New Roman"/>
            </a:rPr>
            <a:t>Home</a:t>
          </a:r>
          <a:endParaRPr b="0" lang="en-IN" sz="1200" spc="-1" strike="noStrike">
            <a:solidFill>
              <a:srgbClr val="000000"/>
            </a:solidFill>
            <a:uFill>
              <a:solidFill>
                <a:srgbClr val="ffffff"/>
              </a:solidFill>
            </a:uFill>
            <a:latin typeface="Times New Roman"/>
          </a:endParaRPr>
        </a:p>
        <a:p>
          <a:pPr>
            <a:lnSpc>
              <a:spcPct val="100000"/>
            </a:lnSpc>
          </a:pPr>
          <a:endParaRPr b="0" lang="en-IN" sz="1200" spc="-1" strike="noStrike">
            <a:solidFill>
              <a:srgbClr val="000000"/>
            </a:solidFill>
            <a:uFill>
              <a:solidFill>
                <a:srgbClr val="ffffff"/>
              </a:solidFill>
            </a:uFill>
            <a:latin typeface="Times New Roman"/>
          </a:endParaRPr>
        </a:p>
      </xdr:txBody>
    </xdr:sp>
    <xdr:clientData/>
  </xdr:twoCellAnchor>
  <xdr:twoCellAnchor editAs="absolute">
    <xdr:from>
      <xdr:col>14</xdr:col>
      <xdr:colOff>153360</xdr:colOff>
      <xdr:row>1</xdr:row>
      <xdr:rowOff>95400</xdr:rowOff>
    </xdr:from>
    <xdr:to>
      <xdr:col>15</xdr:col>
      <xdr:colOff>48240</xdr:colOff>
      <xdr:row>4</xdr:row>
      <xdr:rowOff>115920</xdr:rowOff>
    </xdr:to>
    <xdr:pic>
      <xdr:nvPicPr>
        <xdr:cNvPr id="30" name="Picture 10" descr=""/>
        <xdr:cNvPicPr/>
      </xdr:nvPicPr>
      <xdr:blipFill>
        <a:blip r:embed="rId1"/>
        <a:stretch/>
      </xdr:blipFill>
      <xdr:spPr>
        <a:xfrm>
          <a:off x="11411640" y="285840"/>
          <a:ext cx="657000" cy="515880"/>
        </a:xfrm>
        <a:prstGeom prst="rect">
          <a:avLst/>
        </a:prstGeom>
        <a:ln>
          <a:noFill/>
        </a:ln>
      </xdr:spPr>
    </xdr:pic>
    <xdr:clientData/>
  </xdr:twoCellAnchor>
  <xdr:twoCellAnchor editAs="oneCell">
    <xdr:from>
      <xdr:col>1</xdr:col>
      <xdr:colOff>176760</xdr:colOff>
      <xdr:row>1</xdr:row>
      <xdr:rowOff>61200</xdr:rowOff>
    </xdr:from>
    <xdr:to>
      <xdr:col>4</xdr:col>
      <xdr:colOff>11160</xdr:colOff>
      <xdr:row>3</xdr:row>
      <xdr:rowOff>132480</xdr:rowOff>
    </xdr:to>
    <xdr:pic>
      <xdr:nvPicPr>
        <xdr:cNvPr id="31" name="Picture 12" descr=""/>
        <xdr:cNvPicPr/>
      </xdr:nvPicPr>
      <xdr:blipFill>
        <a:blip r:embed="rId2"/>
        <a:stretch/>
      </xdr:blipFill>
      <xdr:spPr>
        <a:xfrm>
          <a:off x="500400" y="251640"/>
          <a:ext cx="1682280" cy="375840"/>
        </a:xfrm>
        <a:prstGeom prst="rect">
          <a:avLst/>
        </a:prstGeom>
        <a:ln>
          <a:noFill/>
        </a:ln>
      </xdr:spPr>
    </xdr:pic>
    <xdr:clientData/>
  </xdr:twoCellAnchor>
  <xdr:twoCellAnchor editAs="absolute">
    <xdr:from>
      <xdr:col>14</xdr:col>
      <xdr:colOff>216360</xdr:colOff>
      <xdr:row>6</xdr:row>
      <xdr:rowOff>115560</xdr:rowOff>
    </xdr:from>
    <xdr:to>
      <xdr:col>15</xdr:col>
      <xdr:colOff>29160</xdr:colOff>
      <xdr:row>9</xdr:row>
      <xdr:rowOff>45360</xdr:rowOff>
    </xdr:to>
    <xdr:pic>
      <xdr:nvPicPr>
        <xdr:cNvPr id="32" name="Picture 6" descr=""/>
        <xdr:cNvPicPr/>
      </xdr:nvPicPr>
      <xdr:blipFill>
        <a:blip r:embed="rId3"/>
        <a:stretch/>
      </xdr:blipFill>
      <xdr:spPr>
        <a:xfrm>
          <a:off x="11474640" y="1191600"/>
          <a:ext cx="574920" cy="529920"/>
        </a:xfrm>
        <a:prstGeom prst="rect">
          <a:avLst/>
        </a:prstGeom>
        <a:ln>
          <a:noFill/>
        </a:ln>
      </xdr:spPr>
    </xdr:pic>
    <xdr:clientData/>
  </xdr:twoCellAnchor>
  <xdr:twoCellAnchor editAs="absolute">
    <xdr:from>
      <xdr:col>14</xdr:col>
      <xdr:colOff>156600</xdr:colOff>
      <xdr:row>8</xdr:row>
      <xdr:rowOff>189360</xdr:rowOff>
    </xdr:from>
    <xdr:to>
      <xdr:col>15</xdr:col>
      <xdr:colOff>122040</xdr:colOff>
      <xdr:row>11</xdr:row>
      <xdr:rowOff>6120</xdr:rowOff>
    </xdr:to>
    <xdr:sp>
      <xdr:nvSpPr>
        <xdr:cNvPr id="33" name="CustomShape 1"/>
        <xdr:cNvSpPr/>
      </xdr:nvSpPr>
      <xdr:spPr>
        <a:xfrm>
          <a:off x="11414880" y="1665720"/>
          <a:ext cx="727560" cy="330840"/>
        </a:xfrm>
        <a:prstGeom prst="rect">
          <a:avLst/>
        </a:prstGeom>
        <a:no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p>
          <a:pPr>
            <a:lnSpc>
              <a:spcPct val="100000"/>
            </a:lnSpc>
          </a:pPr>
          <a:r>
            <a:rPr b="1" lang="en-IN" sz="1200" spc="-1" strike="noStrike">
              <a:solidFill>
                <a:srgbClr val="ff0000"/>
              </a:solidFill>
              <a:uFill>
                <a:solidFill>
                  <a:srgbClr val="ffffff"/>
                </a:solidFill>
              </a:uFill>
              <a:latin typeface="Times New Roman"/>
            </a:rPr>
            <a:t>Print</a:t>
          </a:r>
          <a:endParaRPr b="0" lang="en-IN" sz="1200" spc="-1" strike="noStrike">
            <a:solidFill>
              <a:srgbClr val="000000"/>
            </a:solidFill>
            <a:uFill>
              <a:solidFill>
                <a:srgbClr val="ffffff"/>
              </a:solidFill>
            </a:uFill>
            <a:latin typeface="Times New Roman"/>
          </a:endParaRPr>
        </a:p>
      </xdr:txBody>
    </xdr:sp>
    <xdr:clientData/>
  </xdr:twoCellAnchor>
  <xdr:twoCellAnchor editAs="absolute">
    <xdr:from>
      <xdr:col>15</xdr:col>
      <xdr:colOff>380880</xdr:colOff>
      <xdr:row>2</xdr:row>
      <xdr:rowOff>6840</xdr:rowOff>
    </xdr:from>
    <xdr:to>
      <xdr:col>16</xdr:col>
      <xdr:colOff>353160</xdr:colOff>
      <xdr:row>5</xdr:row>
      <xdr:rowOff>10440</xdr:rowOff>
    </xdr:to>
    <xdr:pic>
      <xdr:nvPicPr>
        <xdr:cNvPr id="34" name="Picture 15" descr=""/>
        <xdr:cNvPicPr/>
      </xdr:nvPicPr>
      <xdr:blipFill>
        <a:blip r:embed="rId4"/>
        <a:stretch/>
      </xdr:blipFill>
      <xdr:spPr>
        <a:xfrm>
          <a:off x="12401280" y="302040"/>
          <a:ext cx="734400" cy="584640"/>
        </a:xfrm>
        <a:prstGeom prst="rect">
          <a:avLst/>
        </a:prstGeom>
        <a:ln>
          <a:noFill/>
        </a:ln>
      </xdr:spPr>
    </xdr:pic>
    <xdr:clientData/>
  </xdr:twoCellAnchor>
  <xdr:twoCellAnchor editAs="absolute">
    <xdr:from>
      <xdr:col>15</xdr:col>
      <xdr:colOff>448200</xdr:colOff>
      <xdr:row>4</xdr:row>
      <xdr:rowOff>45000</xdr:rowOff>
    </xdr:from>
    <xdr:to>
      <xdr:col>16</xdr:col>
      <xdr:colOff>400680</xdr:colOff>
      <xdr:row>5</xdr:row>
      <xdr:rowOff>135360</xdr:rowOff>
    </xdr:to>
    <xdr:sp>
      <xdr:nvSpPr>
        <xdr:cNvPr id="35" name="CustomShape 1"/>
        <xdr:cNvSpPr/>
      </xdr:nvSpPr>
      <xdr:spPr>
        <a:xfrm>
          <a:off x="12468600" y="730800"/>
          <a:ext cx="714600" cy="280800"/>
        </a:xfrm>
        <a:prstGeom prst="rect">
          <a:avLst/>
        </a:prstGeom>
        <a:no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p>
          <a:pPr>
            <a:lnSpc>
              <a:spcPct val="100000"/>
            </a:lnSpc>
          </a:pPr>
          <a:r>
            <a:rPr b="1" lang="en-IN" sz="1200" spc="-1" strike="noStrike">
              <a:solidFill>
                <a:srgbClr val="ff0000"/>
              </a:solidFill>
              <a:uFill>
                <a:solidFill>
                  <a:srgbClr val="ffffff"/>
                </a:solidFill>
              </a:uFill>
              <a:latin typeface="Times New Roman"/>
            </a:rPr>
            <a:t>Save</a:t>
          </a:r>
          <a:endParaRPr b="0" lang="en-IN" sz="1200" spc="-1" strike="noStrike">
            <a:solidFill>
              <a:srgbClr val="000000"/>
            </a:solidFill>
            <a:uFill>
              <a:solidFill>
                <a:srgbClr val="ffffff"/>
              </a:solidFill>
            </a:uFill>
            <a:latin typeface="Times New Roman"/>
          </a:endParaRPr>
        </a:p>
      </xdr:txBody>
    </xdr:sp>
    <xdr:clientData/>
  </xdr:twoCellAnchor>
</xdr:wsDr>
</file>

<file path=xl/drawings/drawing9.xml><?xml version="1.0" encoding="utf-8"?>
<xdr:wsDr xmlns:xdr="http://schemas.openxmlformats.org/drawingml/2006/spreadsheetDrawing" xmlns:a="http://schemas.openxmlformats.org/drawingml/2006/main" xmlns:r="http://schemas.openxmlformats.org/officeDocument/2006/relationships">
  <xdr:twoCellAnchor editAs="absolute">
    <xdr:from>
      <xdr:col>14</xdr:col>
      <xdr:colOff>136080</xdr:colOff>
      <xdr:row>4</xdr:row>
      <xdr:rowOff>37080</xdr:rowOff>
    </xdr:from>
    <xdr:to>
      <xdr:col>15</xdr:col>
      <xdr:colOff>101520</xdr:colOff>
      <xdr:row>5</xdr:row>
      <xdr:rowOff>128520</xdr:rowOff>
    </xdr:to>
    <xdr:sp>
      <xdr:nvSpPr>
        <xdr:cNvPr id="36" name="CustomShape 1"/>
        <xdr:cNvSpPr/>
      </xdr:nvSpPr>
      <xdr:spPr>
        <a:xfrm>
          <a:off x="11394360" y="722880"/>
          <a:ext cx="727560" cy="281880"/>
        </a:xfrm>
        <a:prstGeom prst="rect">
          <a:avLst/>
        </a:prstGeom>
        <a:no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p>
          <a:pPr>
            <a:lnSpc>
              <a:spcPct val="100000"/>
            </a:lnSpc>
          </a:pPr>
          <a:r>
            <a:rPr b="1" lang="en-IN" sz="1200" spc="-1" strike="noStrike">
              <a:solidFill>
                <a:srgbClr val="ff0000"/>
              </a:solidFill>
              <a:uFill>
                <a:solidFill>
                  <a:srgbClr val="ffffff"/>
                </a:solidFill>
              </a:uFill>
              <a:latin typeface="Times New Roman"/>
            </a:rPr>
            <a:t>Home</a:t>
          </a:r>
          <a:endParaRPr b="0" lang="en-IN" sz="1200" spc="-1" strike="noStrike">
            <a:solidFill>
              <a:srgbClr val="000000"/>
            </a:solidFill>
            <a:uFill>
              <a:solidFill>
                <a:srgbClr val="ffffff"/>
              </a:solidFill>
            </a:uFill>
            <a:latin typeface="Times New Roman"/>
          </a:endParaRPr>
        </a:p>
        <a:p>
          <a:pPr>
            <a:lnSpc>
              <a:spcPct val="100000"/>
            </a:lnSpc>
          </a:pPr>
          <a:endParaRPr b="0" lang="en-IN" sz="1200" spc="-1" strike="noStrike">
            <a:solidFill>
              <a:srgbClr val="000000"/>
            </a:solidFill>
            <a:uFill>
              <a:solidFill>
                <a:srgbClr val="ffffff"/>
              </a:solidFill>
            </a:uFill>
            <a:latin typeface="Times New Roman"/>
          </a:endParaRPr>
        </a:p>
      </xdr:txBody>
    </xdr:sp>
    <xdr:clientData/>
  </xdr:twoCellAnchor>
  <xdr:twoCellAnchor editAs="absolute">
    <xdr:from>
      <xdr:col>14</xdr:col>
      <xdr:colOff>153360</xdr:colOff>
      <xdr:row>1</xdr:row>
      <xdr:rowOff>95400</xdr:rowOff>
    </xdr:from>
    <xdr:to>
      <xdr:col>15</xdr:col>
      <xdr:colOff>48240</xdr:colOff>
      <xdr:row>4</xdr:row>
      <xdr:rowOff>115920</xdr:rowOff>
    </xdr:to>
    <xdr:pic>
      <xdr:nvPicPr>
        <xdr:cNvPr id="37" name="Picture 3" descr=""/>
        <xdr:cNvPicPr/>
      </xdr:nvPicPr>
      <xdr:blipFill>
        <a:blip r:embed="rId1"/>
        <a:stretch/>
      </xdr:blipFill>
      <xdr:spPr>
        <a:xfrm>
          <a:off x="11411640" y="285840"/>
          <a:ext cx="657000" cy="515880"/>
        </a:xfrm>
        <a:prstGeom prst="rect">
          <a:avLst/>
        </a:prstGeom>
        <a:ln>
          <a:noFill/>
        </a:ln>
      </xdr:spPr>
    </xdr:pic>
    <xdr:clientData/>
  </xdr:twoCellAnchor>
  <xdr:twoCellAnchor editAs="oneCell">
    <xdr:from>
      <xdr:col>1</xdr:col>
      <xdr:colOff>176760</xdr:colOff>
      <xdr:row>1</xdr:row>
      <xdr:rowOff>61200</xdr:rowOff>
    </xdr:from>
    <xdr:to>
      <xdr:col>4</xdr:col>
      <xdr:colOff>11160</xdr:colOff>
      <xdr:row>3</xdr:row>
      <xdr:rowOff>132480</xdr:rowOff>
    </xdr:to>
    <xdr:pic>
      <xdr:nvPicPr>
        <xdr:cNvPr id="38" name="Picture 4" descr=""/>
        <xdr:cNvPicPr/>
      </xdr:nvPicPr>
      <xdr:blipFill>
        <a:blip r:embed="rId2"/>
        <a:stretch/>
      </xdr:blipFill>
      <xdr:spPr>
        <a:xfrm>
          <a:off x="500400" y="251640"/>
          <a:ext cx="1682280" cy="375840"/>
        </a:xfrm>
        <a:prstGeom prst="rect">
          <a:avLst/>
        </a:prstGeom>
        <a:ln>
          <a:noFill/>
        </a:ln>
      </xdr:spPr>
    </xdr:pic>
    <xdr:clientData/>
  </xdr:twoCellAnchor>
  <xdr:twoCellAnchor editAs="absolute">
    <xdr:from>
      <xdr:col>14</xdr:col>
      <xdr:colOff>250560</xdr:colOff>
      <xdr:row>6</xdr:row>
      <xdr:rowOff>101880</xdr:rowOff>
    </xdr:from>
    <xdr:to>
      <xdr:col>15</xdr:col>
      <xdr:colOff>63360</xdr:colOff>
      <xdr:row>8</xdr:row>
      <xdr:rowOff>162720</xdr:rowOff>
    </xdr:to>
    <xdr:pic>
      <xdr:nvPicPr>
        <xdr:cNvPr id="39" name="Picture 6" descr=""/>
        <xdr:cNvPicPr/>
      </xdr:nvPicPr>
      <xdr:blipFill>
        <a:blip r:embed="rId3"/>
        <a:stretch/>
      </xdr:blipFill>
      <xdr:spPr>
        <a:xfrm>
          <a:off x="11508840" y="1177920"/>
          <a:ext cx="574920" cy="461160"/>
        </a:xfrm>
        <a:prstGeom prst="rect">
          <a:avLst/>
        </a:prstGeom>
        <a:ln>
          <a:noFill/>
        </a:ln>
      </xdr:spPr>
    </xdr:pic>
    <xdr:clientData/>
  </xdr:twoCellAnchor>
  <xdr:twoCellAnchor editAs="absolute">
    <xdr:from>
      <xdr:col>14</xdr:col>
      <xdr:colOff>190440</xdr:colOff>
      <xdr:row>8</xdr:row>
      <xdr:rowOff>114120</xdr:rowOff>
    </xdr:from>
    <xdr:to>
      <xdr:col>15</xdr:col>
      <xdr:colOff>155880</xdr:colOff>
      <xdr:row>10</xdr:row>
      <xdr:rowOff>87840</xdr:rowOff>
    </xdr:to>
    <xdr:sp>
      <xdr:nvSpPr>
        <xdr:cNvPr id="40" name="CustomShape 1"/>
        <xdr:cNvSpPr/>
      </xdr:nvSpPr>
      <xdr:spPr>
        <a:xfrm>
          <a:off x="11448720" y="1590480"/>
          <a:ext cx="727560" cy="288000"/>
        </a:xfrm>
        <a:prstGeom prst="rect">
          <a:avLst/>
        </a:prstGeom>
        <a:no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p>
          <a:pPr>
            <a:lnSpc>
              <a:spcPct val="100000"/>
            </a:lnSpc>
          </a:pPr>
          <a:r>
            <a:rPr b="1" lang="en-IN" sz="1200" spc="-1" strike="noStrike">
              <a:solidFill>
                <a:srgbClr val="ff0000"/>
              </a:solidFill>
              <a:uFill>
                <a:solidFill>
                  <a:srgbClr val="ffffff"/>
                </a:solidFill>
              </a:uFill>
              <a:latin typeface="Times New Roman"/>
            </a:rPr>
            <a:t>Print</a:t>
          </a:r>
          <a:endParaRPr b="0" lang="en-IN" sz="1200" spc="-1" strike="noStrike">
            <a:solidFill>
              <a:srgbClr val="000000"/>
            </a:solidFill>
            <a:uFill>
              <a:solidFill>
                <a:srgbClr val="ffffff"/>
              </a:solidFill>
            </a:uFill>
            <a:latin typeface="Times New Roman"/>
          </a:endParaRPr>
        </a:p>
      </xdr:txBody>
    </xdr:sp>
    <xdr:clientData/>
  </xdr:twoCellAnchor>
  <xdr:twoCellAnchor editAs="absolute">
    <xdr:from>
      <xdr:col>15</xdr:col>
      <xdr:colOff>374040</xdr:colOff>
      <xdr:row>2</xdr:row>
      <xdr:rowOff>6840</xdr:rowOff>
    </xdr:from>
    <xdr:to>
      <xdr:col>16</xdr:col>
      <xdr:colOff>346320</xdr:colOff>
      <xdr:row>5</xdr:row>
      <xdr:rowOff>10440</xdr:rowOff>
    </xdr:to>
    <xdr:pic>
      <xdr:nvPicPr>
        <xdr:cNvPr id="41" name="Picture 11" descr=""/>
        <xdr:cNvPicPr/>
      </xdr:nvPicPr>
      <xdr:blipFill>
        <a:blip r:embed="rId4"/>
        <a:stretch/>
      </xdr:blipFill>
      <xdr:spPr>
        <a:xfrm>
          <a:off x="12394440" y="302040"/>
          <a:ext cx="734400" cy="584640"/>
        </a:xfrm>
        <a:prstGeom prst="rect">
          <a:avLst/>
        </a:prstGeom>
        <a:ln>
          <a:noFill/>
        </a:ln>
      </xdr:spPr>
    </xdr:pic>
    <xdr:clientData/>
  </xdr:twoCellAnchor>
  <xdr:twoCellAnchor editAs="absolute">
    <xdr:from>
      <xdr:col>15</xdr:col>
      <xdr:colOff>441360</xdr:colOff>
      <xdr:row>4</xdr:row>
      <xdr:rowOff>45000</xdr:rowOff>
    </xdr:from>
    <xdr:to>
      <xdr:col>16</xdr:col>
      <xdr:colOff>393840</xdr:colOff>
      <xdr:row>5</xdr:row>
      <xdr:rowOff>135360</xdr:rowOff>
    </xdr:to>
    <xdr:sp>
      <xdr:nvSpPr>
        <xdr:cNvPr id="42" name="CustomShape 1"/>
        <xdr:cNvSpPr/>
      </xdr:nvSpPr>
      <xdr:spPr>
        <a:xfrm>
          <a:off x="12461760" y="730800"/>
          <a:ext cx="714600" cy="280800"/>
        </a:xfrm>
        <a:prstGeom prst="rect">
          <a:avLst/>
        </a:prstGeom>
        <a:no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p>
          <a:pPr>
            <a:lnSpc>
              <a:spcPct val="100000"/>
            </a:lnSpc>
          </a:pPr>
          <a:r>
            <a:rPr b="1" lang="en-IN" sz="1200" spc="-1" strike="noStrike">
              <a:solidFill>
                <a:srgbClr val="ff0000"/>
              </a:solidFill>
              <a:uFill>
                <a:solidFill>
                  <a:srgbClr val="ffffff"/>
                </a:solidFill>
              </a:uFill>
              <a:latin typeface="Times New Roman"/>
            </a:rPr>
            <a:t>Save</a:t>
          </a:r>
          <a:endParaRPr b="0" lang="en-IN" sz="1200" spc="-1" strike="noStrike">
            <a:solidFill>
              <a:srgbClr val="000000"/>
            </a:solidFill>
            <a:uFill>
              <a:solidFill>
                <a:srgbClr val="ffffff"/>
              </a:solidFill>
            </a:uFill>
            <a:latin typeface="Times New Roman"/>
          </a:endParaRPr>
        </a:p>
      </xdr:txBody>
    </xdr:sp>
    <xdr:clientData/>
  </xdr:twoCellAnchor>
</xdr:wsDr>
</file>

<file path=xl/drawings/drawing10.xml><?xml version="1.0" encoding="utf-8"?>
<xdr:wsDr xmlns:xdr="http://schemas.openxmlformats.org/drawingml/2006/spreadsheetDrawing" xmlns:a="http://schemas.openxmlformats.org/drawingml/2006/main" xmlns:r="http://schemas.openxmlformats.org/officeDocument/2006/relationships">
  <xdr:twoCellAnchor editAs="absolute">
    <xdr:from>
      <xdr:col>14</xdr:col>
      <xdr:colOff>136080</xdr:colOff>
      <xdr:row>4</xdr:row>
      <xdr:rowOff>37080</xdr:rowOff>
    </xdr:from>
    <xdr:to>
      <xdr:col>15</xdr:col>
      <xdr:colOff>101520</xdr:colOff>
      <xdr:row>5</xdr:row>
      <xdr:rowOff>128520</xdr:rowOff>
    </xdr:to>
    <xdr:sp>
      <xdr:nvSpPr>
        <xdr:cNvPr id="43" name="CustomShape 1"/>
        <xdr:cNvSpPr/>
      </xdr:nvSpPr>
      <xdr:spPr>
        <a:xfrm>
          <a:off x="11499120" y="722880"/>
          <a:ext cx="727560" cy="281880"/>
        </a:xfrm>
        <a:prstGeom prst="rect">
          <a:avLst/>
        </a:prstGeom>
        <a:no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p>
          <a:pPr>
            <a:lnSpc>
              <a:spcPct val="100000"/>
            </a:lnSpc>
          </a:pPr>
          <a:r>
            <a:rPr b="1" lang="en-IN" sz="1200" spc="-1" strike="noStrike">
              <a:solidFill>
                <a:srgbClr val="ff0000"/>
              </a:solidFill>
              <a:uFill>
                <a:solidFill>
                  <a:srgbClr val="ffffff"/>
                </a:solidFill>
              </a:uFill>
              <a:latin typeface="Times New Roman"/>
            </a:rPr>
            <a:t>Home</a:t>
          </a:r>
          <a:endParaRPr b="0" lang="en-IN" sz="1200" spc="-1" strike="noStrike">
            <a:solidFill>
              <a:srgbClr val="000000"/>
            </a:solidFill>
            <a:uFill>
              <a:solidFill>
                <a:srgbClr val="ffffff"/>
              </a:solidFill>
            </a:uFill>
            <a:latin typeface="Times New Roman"/>
          </a:endParaRPr>
        </a:p>
        <a:p>
          <a:pPr>
            <a:lnSpc>
              <a:spcPct val="100000"/>
            </a:lnSpc>
          </a:pPr>
          <a:endParaRPr b="0" lang="en-IN" sz="1200" spc="-1" strike="noStrike">
            <a:solidFill>
              <a:srgbClr val="000000"/>
            </a:solidFill>
            <a:uFill>
              <a:solidFill>
                <a:srgbClr val="ffffff"/>
              </a:solidFill>
            </a:uFill>
            <a:latin typeface="Times New Roman"/>
          </a:endParaRPr>
        </a:p>
      </xdr:txBody>
    </xdr:sp>
    <xdr:clientData/>
  </xdr:twoCellAnchor>
  <xdr:twoCellAnchor editAs="absolute">
    <xdr:from>
      <xdr:col>14</xdr:col>
      <xdr:colOff>153360</xdr:colOff>
      <xdr:row>1</xdr:row>
      <xdr:rowOff>95400</xdr:rowOff>
    </xdr:from>
    <xdr:to>
      <xdr:col>15</xdr:col>
      <xdr:colOff>48240</xdr:colOff>
      <xdr:row>4</xdr:row>
      <xdr:rowOff>115920</xdr:rowOff>
    </xdr:to>
    <xdr:pic>
      <xdr:nvPicPr>
        <xdr:cNvPr id="44" name="Picture 3" descr=""/>
        <xdr:cNvPicPr/>
      </xdr:nvPicPr>
      <xdr:blipFill>
        <a:blip r:embed="rId1"/>
        <a:stretch/>
      </xdr:blipFill>
      <xdr:spPr>
        <a:xfrm>
          <a:off x="11516400" y="285840"/>
          <a:ext cx="657000" cy="515880"/>
        </a:xfrm>
        <a:prstGeom prst="rect">
          <a:avLst/>
        </a:prstGeom>
        <a:ln>
          <a:noFill/>
        </a:ln>
      </xdr:spPr>
    </xdr:pic>
    <xdr:clientData/>
  </xdr:twoCellAnchor>
  <xdr:twoCellAnchor editAs="oneCell">
    <xdr:from>
      <xdr:col>1</xdr:col>
      <xdr:colOff>176760</xdr:colOff>
      <xdr:row>1</xdr:row>
      <xdr:rowOff>61200</xdr:rowOff>
    </xdr:from>
    <xdr:to>
      <xdr:col>4</xdr:col>
      <xdr:colOff>11160</xdr:colOff>
      <xdr:row>3</xdr:row>
      <xdr:rowOff>132480</xdr:rowOff>
    </xdr:to>
    <xdr:pic>
      <xdr:nvPicPr>
        <xdr:cNvPr id="45" name="Picture 4" descr=""/>
        <xdr:cNvPicPr/>
      </xdr:nvPicPr>
      <xdr:blipFill>
        <a:blip r:embed="rId2"/>
        <a:stretch/>
      </xdr:blipFill>
      <xdr:spPr>
        <a:xfrm>
          <a:off x="500400" y="251640"/>
          <a:ext cx="1682280" cy="375840"/>
        </a:xfrm>
        <a:prstGeom prst="rect">
          <a:avLst/>
        </a:prstGeom>
        <a:ln>
          <a:noFill/>
        </a:ln>
      </xdr:spPr>
    </xdr:pic>
    <xdr:clientData/>
  </xdr:twoCellAnchor>
  <xdr:twoCellAnchor editAs="absolute">
    <xdr:from>
      <xdr:col>14</xdr:col>
      <xdr:colOff>236880</xdr:colOff>
      <xdr:row>6</xdr:row>
      <xdr:rowOff>54360</xdr:rowOff>
    </xdr:from>
    <xdr:to>
      <xdr:col>15</xdr:col>
      <xdr:colOff>49680</xdr:colOff>
      <xdr:row>8</xdr:row>
      <xdr:rowOff>190440</xdr:rowOff>
    </xdr:to>
    <xdr:pic>
      <xdr:nvPicPr>
        <xdr:cNvPr id="46" name="Picture 6" descr=""/>
        <xdr:cNvPicPr/>
      </xdr:nvPicPr>
      <xdr:blipFill>
        <a:blip r:embed="rId3"/>
        <a:stretch/>
      </xdr:blipFill>
      <xdr:spPr>
        <a:xfrm>
          <a:off x="11599920" y="1130400"/>
          <a:ext cx="574920" cy="536400"/>
        </a:xfrm>
        <a:prstGeom prst="rect">
          <a:avLst/>
        </a:prstGeom>
        <a:ln>
          <a:noFill/>
        </a:ln>
      </xdr:spPr>
    </xdr:pic>
    <xdr:clientData/>
  </xdr:twoCellAnchor>
  <xdr:twoCellAnchor editAs="absolute">
    <xdr:from>
      <xdr:col>14</xdr:col>
      <xdr:colOff>176760</xdr:colOff>
      <xdr:row>8</xdr:row>
      <xdr:rowOff>133560</xdr:rowOff>
    </xdr:from>
    <xdr:to>
      <xdr:col>15</xdr:col>
      <xdr:colOff>142200</xdr:colOff>
      <xdr:row>10</xdr:row>
      <xdr:rowOff>39960</xdr:rowOff>
    </xdr:to>
    <xdr:sp>
      <xdr:nvSpPr>
        <xdr:cNvPr id="47" name="CustomShape 1"/>
        <xdr:cNvSpPr/>
      </xdr:nvSpPr>
      <xdr:spPr>
        <a:xfrm>
          <a:off x="11539800" y="1609920"/>
          <a:ext cx="727560" cy="334800"/>
        </a:xfrm>
        <a:prstGeom prst="rect">
          <a:avLst/>
        </a:prstGeom>
        <a:no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p>
          <a:pPr>
            <a:lnSpc>
              <a:spcPct val="100000"/>
            </a:lnSpc>
          </a:pPr>
          <a:r>
            <a:rPr b="1" lang="en-IN" sz="1200" spc="-1" strike="noStrike">
              <a:solidFill>
                <a:srgbClr val="ff0000"/>
              </a:solidFill>
              <a:uFill>
                <a:solidFill>
                  <a:srgbClr val="ffffff"/>
                </a:solidFill>
              </a:uFill>
              <a:latin typeface="Times New Roman"/>
            </a:rPr>
            <a:t>Print</a:t>
          </a:r>
          <a:endParaRPr b="0" lang="en-IN" sz="1200" spc="-1" strike="noStrike">
            <a:solidFill>
              <a:srgbClr val="000000"/>
            </a:solidFill>
            <a:uFill>
              <a:solidFill>
                <a:srgbClr val="ffffff"/>
              </a:solidFill>
            </a:uFill>
            <a:latin typeface="Times New Roman"/>
          </a:endParaRPr>
        </a:p>
      </xdr:txBody>
    </xdr:sp>
    <xdr:clientData/>
  </xdr:twoCellAnchor>
  <xdr:twoCellAnchor editAs="absolute">
    <xdr:from>
      <xdr:col>15</xdr:col>
      <xdr:colOff>387720</xdr:colOff>
      <xdr:row>2</xdr:row>
      <xdr:rowOff>13680</xdr:rowOff>
    </xdr:from>
    <xdr:to>
      <xdr:col>16</xdr:col>
      <xdr:colOff>360000</xdr:colOff>
      <xdr:row>5</xdr:row>
      <xdr:rowOff>17280</xdr:rowOff>
    </xdr:to>
    <xdr:pic>
      <xdr:nvPicPr>
        <xdr:cNvPr id="48" name="Picture 11" descr=""/>
        <xdr:cNvPicPr/>
      </xdr:nvPicPr>
      <xdr:blipFill>
        <a:blip r:embed="rId4"/>
        <a:stretch/>
      </xdr:blipFill>
      <xdr:spPr>
        <a:xfrm>
          <a:off x="12512880" y="308880"/>
          <a:ext cx="734400" cy="584640"/>
        </a:xfrm>
        <a:prstGeom prst="rect">
          <a:avLst/>
        </a:prstGeom>
        <a:ln>
          <a:noFill/>
        </a:ln>
      </xdr:spPr>
    </xdr:pic>
    <xdr:clientData/>
  </xdr:twoCellAnchor>
  <xdr:twoCellAnchor editAs="absolute">
    <xdr:from>
      <xdr:col>15</xdr:col>
      <xdr:colOff>455040</xdr:colOff>
      <xdr:row>4</xdr:row>
      <xdr:rowOff>51840</xdr:rowOff>
    </xdr:from>
    <xdr:to>
      <xdr:col>16</xdr:col>
      <xdr:colOff>407520</xdr:colOff>
      <xdr:row>5</xdr:row>
      <xdr:rowOff>142200</xdr:rowOff>
    </xdr:to>
    <xdr:sp>
      <xdr:nvSpPr>
        <xdr:cNvPr id="49" name="CustomShape 1"/>
        <xdr:cNvSpPr/>
      </xdr:nvSpPr>
      <xdr:spPr>
        <a:xfrm>
          <a:off x="12580200" y="737640"/>
          <a:ext cx="714600" cy="280800"/>
        </a:xfrm>
        <a:prstGeom prst="rect">
          <a:avLst/>
        </a:prstGeom>
        <a:no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p>
          <a:pPr>
            <a:lnSpc>
              <a:spcPct val="100000"/>
            </a:lnSpc>
          </a:pPr>
          <a:r>
            <a:rPr b="1" lang="en-IN" sz="1200" spc="-1" strike="noStrike">
              <a:solidFill>
                <a:srgbClr val="ff0000"/>
              </a:solidFill>
              <a:uFill>
                <a:solidFill>
                  <a:srgbClr val="ffffff"/>
                </a:solidFill>
              </a:uFill>
              <a:latin typeface="Times New Roman"/>
            </a:rPr>
            <a:t>Save</a:t>
          </a:r>
          <a:endParaRPr b="0" lang="en-IN" sz="1200" spc="-1" strike="noStrike">
            <a:solidFill>
              <a:srgbClr val="000000"/>
            </a:solidFill>
            <a:uFill>
              <a:solidFill>
                <a:srgbClr val="ffffff"/>
              </a:solidFill>
            </a:uFill>
            <a:latin typeface="Times New Roman"/>
          </a:endParaRPr>
        </a:p>
      </xdr:txBody>
    </xdr:sp>
    <xdr:clientData/>
  </xdr:twoCellAnchor>
</xdr:wsDr>
</file>

<file path=xl/drawings/drawing11.xml><?xml version="1.0" encoding="utf-8"?>
<xdr:wsDr xmlns:xdr="http://schemas.openxmlformats.org/drawingml/2006/spreadsheetDrawing" xmlns:a="http://schemas.openxmlformats.org/drawingml/2006/main" xmlns:r="http://schemas.openxmlformats.org/officeDocument/2006/relationships">
  <xdr:twoCellAnchor editAs="absolute">
    <xdr:from>
      <xdr:col>14</xdr:col>
      <xdr:colOff>136080</xdr:colOff>
      <xdr:row>4</xdr:row>
      <xdr:rowOff>37080</xdr:rowOff>
    </xdr:from>
    <xdr:to>
      <xdr:col>15</xdr:col>
      <xdr:colOff>101520</xdr:colOff>
      <xdr:row>5</xdr:row>
      <xdr:rowOff>128520</xdr:rowOff>
    </xdr:to>
    <xdr:sp>
      <xdr:nvSpPr>
        <xdr:cNvPr id="50" name="CustomShape 1"/>
        <xdr:cNvSpPr/>
      </xdr:nvSpPr>
      <xdr:spPr>
        <a:xfrm>
          <a:off x="11527920" y="722880"/>
          <a:ext cx="727200" cy="281880"/>
        </a:xfrm>
        <a:prstGeom prst="rect">
          <a:avLst/>
        </a:prstGeom>
        <a:no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p>
          <a:pPr>
            <a:lnSpc>
              <a:spcPct val="100000"/>
            </a:lnSpc>
          </a:pPr>
          <a:r>
            <a:rPr b="1" lang="en-IN" sz="1200" spc="-1" strike="noStrike">
              <a:solidFill>
                <a:srgbClr val="ff0000"/>
              </a:solidFill>
              <a:uFill>
                <a:solidFill>
                  <a:srgbClr val="ffffff"/>
                </a:solidFill>
              </a:uFill>
              <a:latin typeface="Times New Roman"/>
            </a:rPr>
            <a:t>Home</a:t>
          </a:r>
          <a:endParaRPr b="0" lang="en-IN" sz="1200" spc="-1" strike="noStrike">
            <a:solidFill>
              <a:srgbClr val="000000"/>
            </a:solidFill>
            <a:uFill>
              <a:solidFill>
                <a:srgbClr val="ffffff"/>
              </a:solidFill>
            </a:uFill>
            <a:latin typeface="Times New Roman"/>
          </a:endParaRPr>
        </a:p>
        <a:p>
          <a:pPr>
            <a:lnSpc>
              <a:spcPct val="100000"/>
            </a:lnSpc>
          </a:pPr>
          <a:endParaRPr b="0" lang="en-IN" sz="1200" spc="-1" strike="noStrike">
            <a:solidFill>
              <a:srgbClr val="000000"/>
            </a:solidFill>
            <a:uFill>
              <a:solidFill>
                <a:srgbClr val="ffffff"/>
              </a:solidFill>
            </a:uFill>
            <a:latin typeface="Times New Roman"/>
          </a:endParaRPr>
        </a:p>
      </xdr:txBody>
    </xdr:sp>
    <xdr:clientData/>
  </xdr:twoCellAnchor>
  <xdr:twoCellAnchor editAs="absolute">
    <xdr:from>
      <xdr:col>14</xdr:col>
      <xdr:colOff>153360</xdr:colOff>
      <xdr:row>1</xdr:row>
      <xdr:rowOff>95400</xdr:rowOff>
    </xdr:from>
    <xdr:to>
      <xdr:col>15</xdr:col>
      <xdr:colOff>48240</xdr:colOff>
      <xdr:row>4</xdr:row>
      <xdr:rowOff>115920</xdr:rowOff>
    </xdr:to>
    <xdr:pic>
      <xdr:nvPicPr>
        <xdr:cNvPr id="51" name="Picture 3" descr=""/>
        <xdr:cNvPicPr/>
      </xdr:nvPicPr>
      <xdr:blipFill>
        <a:blip r:embed="rId1"/>
        <a:stretch/>
      </xdr:blipFill>
      <xdr:spPr>
        <a:xfrm>
          <a:off x="11545200" y="285840"/>
          <a:ext cx="656640" cy="515880"/>
        </a:xfrm>
        <a:prstGeom prst="rect">
          <a:avLst/>
        </a:prstGeom>
        <a:ln>
          <a:noFill/>
        </a:ln>
      </xdr:spPr>
    </xdr:pic>
    <xdr:clientData/>
  </xdr:twoCellAnchor>
  <xdr:twoCellAnchor editAs="oneCell">
    <xdr:from>
      <xdr:col>1</xdr:col>
      <xdr:colOff>176760</xdr:colOff>
      <xdr:row>1</xdr:row>
      <xdr:rowOff>61200</xdr:rowOff>
    </xdr:from>
    <xdr:to>
      <xdr:col>4</xdr:col>
      <xdr:colOff>11160</xdr:colOff>
      <xdr:row>3</xdr:row>
      <xdr:rowOff>132480</xdr:rowOff>
    </xdr:to>
    <xdr:pic>
      <xdr:nvPicPr>
        <xdr:cNvPr id="52" name="Picture 4" descr=""/>
        <xdr:cNvPicPr/>
      </xdr:nvPicPr>
      <xdr:blipFill>
        <a:blip r:embed="rId2"/>
        <a:stretch/>
      </xdr:blipFill>
      <xdr:spPr>
        <a:xfrm>
          <a:off x="500400" y="251640"/>
          <a:ext cx="1682280" cy="375840"/>
        </a:xfrm>
        <a:prstGeom prst="rect">
          <a:avLst/>
        </a:prstGeom>
        <a:ln>
          <a:noFill/>
        </a:ln>
      </xdr:spPr>
    </xdr:pic>
    <xdr:clientData/>
  </xdr:twoCellAnchor>
  <xdr:twoCellAnchor editAs="absolute">
    <xdr:from>
      <xdr:col>14</xdr:col>
      <xdr:colOff>236880</xdr:colOff>
      <xdr:row>6</xdr:row>
      <xdr:rowOff>136080</xdr:rowOff>
    </xdr:from>
    <xdr:to>
      <xdr:col>15</xdr:col>
      <xdr:colOff>49680</xdr:colOff>
      <xdr:row>8</xdr:row>
      <xdr:rowOff>200160</xdr:rowOff>
    </xdr:to>
    <xdr:pic>
      <xdr:nvPicPr>
        <xdr:cNvPr id="53" name="Picture 6" descr=""/>
        <xdr:cNvPicPr/>
      </xdr:nvPicPr>
      <xdr:blipFill>
        <a:blip r:embed="rId3"/>
        <a:stretch/>
      </xdr:blipFill>
      <xdr:spPr>
        <a:xfrm>
          <a:off x="11628720" y="1212120"/>
          <a:ext cx="574560" cy="464400"/>
        </a:xfrm>
        <a:prstGeom prst="rect">
          <a:avLst/>
        </a:prstGeom>
        <a:ln>
          <a:noFill/>
        </a:ln>
      </xdr:spPr>
    </xdr:pic>
    <xdr:clientData/>
  </xdr:twoCellAnchor>
  <xdr:twoCellAnchor editAs="absolute">
    <xdr:from>
      <xdr:col>14</xdr:col>
      <xdr:colOff>176760</xdr:colOff>
      <xdr:row>8</xdr:row>
      <xdr:rowOff>151200</xdr:rowOff>
    </xdr:from>
    <xdr:to>
      <xdr:col>15</xdr:col>
      <xdr:colOff>142200</xdr:colOff>
      <xdr:row>10</xdr:row>
      <xdr:rowOff>88920</xdr:rowOff>
    </xdr:to>
    <xdr:sp>
      <xdr:nvSpPr>
        <xdr:cNvPr id="54" name="CustomShape 1"/>
        <xdr:cNvSpPr/>
      </xdr:nvSpPr>
      <xdr:spPr>
        <a:xfrm>
          <a:off x="11568600" y="1627560"/>
          <a:ext cx="727200" cy="290160"/>
        </a:xfrm>
        <a:prstGeom prst="rect">
          <a:avLst/>
        </a:prstGeom>
        <a:no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p>
          <a:pPr>
            <a:lnSpc>
              <a:spcPct val="100000"/>
            </a:lnSpc>
          </a:pPr>
          <a:r>
            <a:rPr b="1" lang="en-IN" sz="1200" spc="-1" strike="noStrike">
              <a:solidFill>
                <a:srgbClr val="ff0000"/>
              </a:solidFill>
              <a:uFill>
                <a:solidFill>
                  <a:srgbClr val="ffffff"/>
                </a:solidFill>
              </a:uFill>
              <a:latin typeface="Times New Roman"/>
            </a:rPr>
            <a:t>Print</a:t>
          </a:r>
          <a:endParaRPr b="0" lang="en-IN" sz="1200" spc="-1" strike="noStrike">
            <a:solidFill>
              <a:srgbClr val="000000"/>
            </a:solidFill>
            <a:uFill>
              <a:solidFill>
                <a:srgbClr val="ffffff"/>
              </a:solidFill>
            </a:uFill>
            <a:latin typeface="Times New Roman"/>
          </a:endParaRPr>
        </a:p>
      </xdr:txBody>
    </xdr:sp>
    <xdr:clientData/>
  </xdr:twoCellAnchor>
  <xdr:twoCellAnchor editAs="absolute">
    <xdr:from>
      <xdr:col>15</xdr:col>
      <xdr:colOff>367560</xdr:colOff>
      <xdr:row>1</xdr:row>
      <xdr:rowOff>101880</xdr:rowOff>
    </xdr:from>
    <xdr:to>
      <xdr:col>16</xdr:col>
      <xdr:colOff>339840</xdr:colOff>
      <xdr:row>5</xdr:row>
      <xdr:rowOff>2880</xdr:rowOff>
    </xdr:to>
    <xdr:pic>
      <xdr:nvPicPr>
        <xdr:cNvPr id="55" name="Picture 11" descr=""/>
        <xdr:cNvPicPr/>
      </xdr:nvPicPr>
      <xdr:blipFill>
        <a:blip r:embed="rId4"/>
        <a:stretch/>
      </xdr:blipFill>
      <xdr:spPr>
        <a:xfrm>
          <a:off x="12521160" y="292320"/>
          <a:ext cx="734400" cy="586800"/>
        </a:xfrm>
        <a:prstGeom prst="rect">
          <a:avLst/>
        </a:prstGeom>
        <a:ln>
          <a:noFill/>
        </a:ln>
      </xdr:spPr>
    </xdr:pic>
    <xdr:clientData/>
  </xdr:twoCellAnchor>
  <xdr:twoCellAnchor editAs="absolute">
    <xdr:from>
      <xdr:col>15</xdr:col>
      <xdr:colOff>434520</xdr:colOff>
      <xdr:row>4</xdr:row>
      <xdr:rowOff>37080</xdr:rowOff>
    </xdr:from>
    <xdr:to>
      <xdr:col>16</xdr:col>
      <xdr:colOff>387000</xdr:colOff>
      <xdr:row>5</xdr:row>
      <xdr:rowOff>128520</xdr:rowOff>
    </xdr:to>
    <xdr:sp>
      <xdr:nvSpPr>
        <xdr:cNvPr id="56" name="CustomShape 1"/>
        <xdr:cNvSpPr/>
      </xdr:nvSpPr>
      <xdr:spPr>
        <a:xfrm>
          <a:off x="12588120" y="722880"/>
          <a:ext cx="714600" cy="281880"/>
        </a:xfrm>
        <a:prstGeom prst="rect">
          <a:avLst/>
        </a:prstGeom>
        <a:no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p>
          <a:pPr>
            <a:lnSpc>
              <a:spcPct val="100000"/>
            </a:lnSpc>
          </a:pPr>
          <a:r>
            <a:rPr b="1" lang="en-IN" sz="1200" spc="-1" strike="noStrike">
              <a:solidFill>
                <a:srgbClr val="ff0000"/>
              </a:solidFill>
              <a:uFill>
                <a:solidFill>
                  <a:srgbClr val="ffffff"/>
                </a:solidFill>
              </a:uFill>
              <a:latin typeface="Times New Roman"/>
            </a:rPr>
            <a:t>Save</a:t>
          </a:r>
          <a:endParaRPr b="0" lang="en-IN" sz="1200" spc="-1" strike="noStrike">
            <a:solidFill>
              <a:srgbClr val="000000"/>
            </a:solidFill>
            <a:uFill>
              <a:solidFill>
                <a:srgbClr val="ffffff"/>
              </a:solidFill>
            </a:uFill>
            <a:latin typeface="Times New Roman"/>
          </a:endParaRPr>
        </a:p>
      </xdr:txBody>
    </xdr:sp>
    <xdr:clientData/>
  </xdr:twoCellAnchor>
</xdr:wsDr>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2.xml.rels><?xml version="1.0" encoding="UTF-8"?>
<Relationships xmlns="http://schemas.openxmlformats.org/package/2006/relationships"><Relationship Id="rId1" Type="http://schemas.openxmlformats.org/officeDocument/2006/relationships/drawing" Target="../drawings/drawing2.xml"/>
</Relationships>
</file>

<file path=xl/worksheets/_rels/sheet3.xml.rels><?xml version="1.0" encoding="UTF-8"?>
<Relationships xmlns="http://schemas.openxmlformats.org/package/2006/relationships"><Relationship Id="rId1" Type="http://schemas.openxmlformats.org/officeDocument/2006/relationships/drawing" Target="../drawings/drawing3.xml"/>
</Relationships>
</file>

<file path=xl/worksheets/_rels/sheet4.xml.rels><?xml version="1.0" encoding="UTF-8"?>
<Relationships xmlns="http://schemas.openxmlformats.org/package/2006/relationships"><Relationship Id="rId1" Type="http://schemas.openxmlformats.org/officeDocument/2006/relationships/drawing" Target="../drawings/drawing4.xml"/>
</Relationships>
</file>

<file path=xl/worksheets/_rels/sheet5.xml.rels><?xml version="1.0" encoding="UTF-8"?>
<Relationships xmlns="http://schemas.openxmlformats.org/package/2006/relationships"><Relationship Id="rId1" Type="http://schemas.openxmlformats.org/officeDocument/2006/relationships/drawing" Target="../drawings/drawing5.xml"/>
</Relationships>
</file>

<file path=xl/worksheets/_rels/sheet6.xml.rels><?xml version="1.0" encoding="UTF-8"?>
<Relationships xmlns="http://schemas.openxmlformats.org/package/2006/relationships"><Relationship Id="rId1" Type="http://schemas.openxmlformats.org/officeDocument/2006/relationships/drawing" Target="../drawings/drawing6.xml"/>
</Relationships>
</file>

<file path=xl/worksheets/_rels/sheet7.xml.rels><?xml version="1.0" encoding="UTF-8"?>
<Relationships xmlns="http://schemas.openxmlformats.org/package/2006/relationships"><Relationship Id="rId1" Type="http://schemas.openxmlformats.org/officeDocument/2006/relationships/drawing" Target="../drawings/drawing7.xml"/>
</Relationships>
</file>

<file path=xl/worksheets/_rels/sheet8.xml.rels><?xml version="1.0" encoding="UTF-8"?>
<Relationships xmlns="http://schemas.openxmlformats.org/package/2006/relationships"><Relationship Id="rId1" Type="http://schemas.openxmlformats.org/officeDocument/2006/relationships/drawing" Target="../drawings/drawing8.xml"/>
</Relationships>
</file>

<file path=xl/worksheets/_rels/sheet9.xml.rels><?xml version="1.0" encoding="UTF-8"?>
<Relationships xmlns="http://schemas.openxmlformats.org/package/2006/relationships"><Relationship Id="rId1" Type="http://schemas.openxmlformats.org/officeDocument/2006/relationships/drawing" Target="../drawings/drawing9.xml"/>
</Relationships>
</file>

<file path=xl/worksheets/_rels/sheet10.xml.rels><?xml version="1.0" encoding="UTF-8"?>
<Relationships xmlns="http://schemas.openxmlformats.org/package/2006/relationships"><Relationship Id="rId1" Type="http://schemas.openxmlformats.org/officeDocument/2006/relationships/drawing" Target="../drawings/drawing10.xml"/>
</Relationships>
</file>

<file path=xl/worksheets/_rels/sheet11.xml.rels><?xml version="1.0" encoding="UTF-8"?>
<Relationships xmlns="http://schemas.openxmlformats.org/package/2006/relationships"><Relationship Id="rId1" Type="http://schemas.openxmlformats.org/officeDocument/2006/relationships/drawing" Target="../drawings/drawing11.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B3:X26"/>
  <sheetViews>
    <sheetView windowProtection="false" showFormulas="false" showGridLines="false" showRowColHeaders="false" showZeros="true" rightToLeft="false" tabSelected="false" showOutlineSymbols="true" defaultGridColor="true" view="normal" topLeftCell="A1" colorId="64" zoomScale="100" zoomScaleNormal="100" zoomScalePageLayoutView="100" workbookViewId="0">
      <selection pane="topLeft" activeCell="J6" activeCellId="0" sqref="J6"/>
    </sheetView>
  </sheetViews>
  <sheetFormatPr defaultRowHeight="15"/>
  <cols>
    <col collapsed="false" hidden="false" max="6" min="1" style="0" width="8.57085020242915"/>
    <col collapsed="false" hidden="false" max="7" min="7" style="0" width="9.4251012145749"/>
    <col collapsed="false" hidden="false" max="8" min="8" style="0" width="4.39271255060729"/>
    <col collapsed="false" hidden="false" max="11" min="9" style="0" width="8.57085020242915"/>
    <col collapsed="false" hidden="false" max="12" min="12" style="0" width="4.39271255060729"/>
    <col collapsed="false" hidden="false" max="1025" min="13" style="0" width="8.57085020242915"/>
  </cols>
  <sheetData>
    <row r="3" customFormat="false" ht="15.75" hidden="false" customHeight="false" outlineLevel="0" collapsed="false"/>
    <row r="4" customFormat="false" ht="15" hidden="false" customHeight="true" outlineLevel="0" collapsed="false">
      <c r="B4" s="1" t="s">
        <v>0</v>
      </c>
      <c r="C4" s="1"/>
      <c r="D4" s="1"/>
      <c r="E4" s="1"/>
      <c r="F4" s="1"/>
      <c r="G4" s="1"/>
      <c r="H4" s="2"/>
      <c r="I4" s="3"/>
      <c r="J4" s="3"/>
      <c r="K4" s="3"/>
      <c r="L4" s="4"/>
      <c r="N4" s="1" t="s">
        <v>1</v>
      </c>
      <c r="O4" s="1"/>
      <c r="P4" s="1"/>
      <c r="Q4" s="1"/>
      <c r="R4" s="1"/>
      <c r="S4" s="1"/>
      <c r="T4" s="2"/>
      <c r="U4" s="3"/>
      <c r="V4" s="3"/>
      <c r="W4" s="3"/>
      <c r="X4" s="4"/>
    </row>
    <row r="5" customFormat="false" ht="15" hidden="false" customHeight="false" outlineLevel="0" collapsed="false">
      <c r="B5" s="1"/>
      <c r="C5" s="1"/>
      <c r="D5" s="1"/>
      <c r="E5" s="1"/>
      <c r="F5" s="1"/>
      <c r="G5" s="1"/>
      <c r="H5" s="5"/>
      <c r="I5" s="6"/>
      <c r="J5" s="6"/>
      <c r="K5" s="6"/>
      <c r="L5" s="7"/>
      <c r="N5" s="1"/>
      <c r="O5" s="1"/>
      <c r="P5" s="1"/>
      <c r="Q5" s="1"/>
      <c r="R5" s="1"/>
      <c r="S5" s="1"/>
      <c r="T5" s="5"/>
      <c r="U5" s="6"/>
      <c r="V5" s="6"/>
      <c r="W5" s="6"/>
      <c r="X5" s="7"/>
    </row>
    <row r="6" customFormat="false" ht="15" hidden="false" customHeight="false" outlineLevel="0" collapsed="false">
      <c r="B6" s="1"/>
      <c r="C6" s="1"/>
      <c r="D6" s="1"/>
      <c r="E6" s="1"/>
      <c r="F6" s="1"/>
      <c r="G6" s="1"/>
      <c r="H6" s="5"/>
      <c r="I6" s="6"/>
      <c r="J6" s="6"/>
      <c r="K6" s="6"/>
      <c r="L6" s="7"/>
      <c r="N6" s="1"/>
      <c r="O6" s="1"/>
      <c r="P6" s="1"/>
      <c r="Q6" s="1"/>
      <c r="R6" s="1"/>
      <c r="S6" s="1"/>
      <c r="T6" s="5"/>
      <c r="U6" s="6"/>
      <c r="V6" s="6"/>
      <c r="W6" s="6"/>
      <c r="X6" s="7"/>
    </row>
    <row r="7" customFormat="false" ht="15" hidden="false" customHeight="false" outlineLevel="0" collapsed="false">
      <c r="B7" s="1"/>
      <c r="C7" s="1"/>
      <c r="D7" s="1"/>
      <c r="E7" s="1"/>
      <c r="F7" s="1"/>
      <c r="G7" s="1"/>
      <c r="H7" s="5"/>
      <c r="I7" s="6"/>
      <c r="J7" s="6"/>
      <c r="K7" s="6"/>
      <c r="L7" s="7"/>
      <c r="N7" s="1"/>
      <c r="O7" s="1"/>
      <c r="P7" s="1"/>
      <c r="Q7" s="1"/>
      <c r="R7" s="1"/>
      <c r="S7" s="1"/>
      <c r="T7" s="5"/>
      <c r="U7" s="6"/>
      <c r="V7" s="6"/>
      <c r="W7" s="6"/>
      <c r="X7" s="7"/>
    </row>
    <row r="8" customFormat="false" ht="15.75" hidden="false" customHeight="false" outlineLevel="0" collapsed="false">
      <c r="B8" s="1"/>
      <c r="C8" s="1"/>
      <c r="D8" s="1"/>
      <c r="E8" s="1"/>
      <c r="F8" s="1"/>
      <c r="G8" s="1"/>
      <c r="H8" s="8"/>
      <c r="I8" s="9"/>
      <c r="J8" s="9"/>
      <c r="K8" s="9"/>
      <c r="L8" s="10"/>
      <c r="N8" s="1"/>
      <c r="O8" s="1"/>
      <c r="P8" s="1"/>
      <c r="Q8" s="1"/>
      <c r="R8" s="1"/>
      <c r="S8" s="1"/>
      <c r="T8" s="8"/>
      <c r="U8" s="9"/>
      <c r="V8" s="9"/>
      <c r="W8" s="9"/>
      <c r="X8" s="10"/>
    </row>
    <row r="9" customFormat="false" ht="15.75" hidden="false" customHeight="false" outlineLevel="0" collapsed="false">
      <c r="B9" s="11"/>
      <c r="C9" s="11"/>
      <c r="D9" s="11"/>
      <c r="E9" s="11"/>
      <c r="F9" s="11"/>
      <c r="G9" s="11"/>
      <c r="H9" s="11"/>
      <c r="I9" s="11"/>
      <c r="J9" s="11"/>
      <c r="K9" s="11"/>
      <c r="L9" s="11"/>
    </row>
    <row r="10" customFormat="false" ht="15" hidden="false" customHeight="true" outlineLevel="0" collapsed="false">
      <c r="B10" s="1" t="s">
        <v>2</v>
      </c>
      <c r="C10" s="1"/>
      <c r="D10" s="1"/>
      <c r="E10" s="1"/>
      <c r="F10" s="1"/>
      <c r="G10" s="1"/>
      <c r="H10" s="2"/>
      <c r="I10" s="3"/>
      <c r="J10" s="3"/>
      <c r="K10" s="3"/>
      <c r="L10" s="4"/>
      <c r="N10" s="1" t="s">
        <v>3</v>
      </c>
      <c r="O10" s="1"/>
      <c r="P10" s="1"/>
      <c r="Q10" s="1"/>
      <c r="R10" s="1"/>
      <c r="S10" s="1"/>
      <c r="T10" s="2"/>
      <c r="U10" s="3"/>
      <c r="V10" s="3"/>
      <c r="W10" s="3"/>
      <c r="X10" s="4"/>
    </row>
    <row r="11" customFormat="false" ht="15" hidden="false" customHeight="false" outlineLevel="0" collapsed="false">
      <c r="B11" s="1"/>
      <c r="C11" s="1"/>
      <c r="D11" s="1"/>
      <c r="E11" s="1"/>
      <c r="F11" s="1"/>
      <c r="G11" s="1"/>
      <c r="H11" s="5"/>
      <c r="I11" s="6"/>
      <c r="J11" s="6"/>
      <c r="K11" s="6"/>
      <c r="L11" s="7"/>
      <c r="N11" s="1"/>
      <c r="O11" s="1"/>
      <c r="P11" s="1"/>
      <c r="Q11" s="1"/>
      <c r="R11" s="1"/>
      <c r="S11" s="1"/>
      <c r="T11" s="5"/>
      <c r="U11" s="6"/>
      <c r="V11" s="6"/>
      <c r="W11" s="6"/>
      <c r="X11" s="7"/>
    </row>
    <row r="12" customFormat="false" ht="15" hidden="false" customHeight="false" outlineLevel="0" collapsed="false">
      <c r="B12" s="1"/>
      <c r="C12" s="1"/>
      <c r="D12" s="1"/>
      <c r="E12" s="1"/>
      <c r="F12" s="1"/>
      <c r="G12" s="1"/>
      <c r="H12" s="5"/>
      <c r="I12" s="6"/>
      <c r="J12" s="6"/>
      <c r="K12" s="6"/>
      <c r="L12" s="7"/>
      <c r="N12" s="1"/>
      <c r="O12" s="1"/>
      <c r="P12" s="1"/>
      <c r="Q12" s="1"/>
      <c r="R12" s="1"/>
      <c r="S12" s="1"/>
      <c r="T12" s="5"/>
      <c r="U12" s="6"/>
      <c r="V12" s="6"/>
      <c r="W12" s="6"/>
      <c r="X12" s="7"/>
    </row>
    <row r="13" customFormat="false" ht="15" hidden="false" customHeight="false" outlineLevel="0" collapsed="false">
      <c r="B13" s="1"/>
      <c r="C13" s="1"/>
      <c r="D13" s="1"/>
      <c r="E13" s="1"/>
      <c r="F13" s="1"/>
      <c r="G13" s="1"/>
      <c r="H13" s="5"/>
      <c r="I13" s="6"/>
      <c r="J13" s="6"/>
      <c r="K13" s="6"/>
      <c r="L13" s="7"/>
      <c r="N13" s="1"/>
      <c r="O13" s="1"/>
      <c r="P13" s="1"/>
      <c r="Q13" s="1"/>
      <c r="R13" s="1"/>
      <c r="S13" s="1"/>
      <c r="T13" s="5"/>
      <c r="U13" s="6"/>
      <c r="V13" s="6"/>
      <c r="W13" s="6"/>
      <c r="X13" s="7"/>
    </row>
    <row r="14" customFormat="false" ht="15.75" hidden="false" customHeight="false" outlineLevel="0" collapsed="false">
      <c r="B14" s="1"/>
      <c r="C14" s="1"/>
      <c r="D14" s="1"/>
      <c r="E14" s="1"/>
      <c r="F14" s="1"/>
      <c r="G14" s="1"/>
      <c r="H14" s="8"/>
      <c r="I14" s="9"/>
      <c r="J14" s="9"/>
      <c r="K14" s="9"/>
      <c r="L14" s="10"/>
      <c r="N14" s="1"/>
      <c r="O14" s="1"/>
      <c r="P14" s="1"/>
      <c r="Q14" s="1"/>
      <c r="R14" s="1"/>
      <c r="S14" s="1"/>
      <c r="T14" s="8"/>
      <c r="U14" s="9"/>
      <c r="V14" s="9"/>
      <c r="W14" s="9"/>
      <c r="X14" s="10"/>
    </row>
    <row r="15" customFormat="false" ht="15.75" hidden="false" customHeight="false" outlineLevel="0" collapsed="false">
      <c r="B15" s="11"/>
      <c r="C15" s="11"/>
      <c r="D15" s="11"/>
      <c r="E15" s="11"/>
      <c r="F15" s="11"/>
      <c r="G15" s="11"/>
      <c r="H15" s="11"/>
      <c r="I15" s="11"/>
      <c r="J15" s="11"/>
      <c r="K15" s="11"/>
      <c r="L15" s="11"/>
      <c r="M15" s="11"/>
    </row>
    <row r="16" customFormat="false" ht="15" hidden="false" customHeight="true" outlineLevel="0" collapsed="false">
      <c r="B16" s="1" t="s">
        <v>4</v>
      </c>
      <c r="C16" s="1"/>
      <c r="D16" s="1"/>
      <c r="E16" s="1"/>
      <c r="F16" s="1"/>
      <c r="G16" s="1"/>
      <c r="H16" s="2"/>
      <c r="I16" s="3"/>
      <c r="J16" s="3"/>
      <c r="K16" s="3"/>
      <c r="L16" s="4"/>
      <c r="N16" s="1" t="s">
        <v>5</v>
      </c>
      <c r="O16" s="1"/>
      <c r="P16" s="1"/>
      <c r="Q16" s="1"/>
      <c r="R16" s="1"/>
      <c r="S16" s="1"/>
      <c r="T16" s="2"/>
      <c r="U16" s="3"/>
      <c r="V16" s="3"/>
      <c r="W16" s="3"/>
      <c r="X16" s="4"/>
    </row>
    <row r="17" customFormat="false" ht="15" hidden="false" customHeight="false" outlineLevel="0" collapsed="false">
      <c r="B17" s="1"/>
      <c r="C17" s="1"/>
      <c r="D17" s="1"/>
      <c r="E17" s="1"/>
      <c r="F17" s="1"/>
      <c r="G17" s="1"/>
      <c r="H17" s="5"/>
      <c r="I17" s="6"/>
      <c r="J17" s="6"/>
      <c r="K17" s="6"/>
      <c r="L17" s="7"/>
      <c r="N17" s="1"/>
      <c r="O17" s="1"/>
      <c r="P17" s="1"/>
      <c r="Q17" s="1"/>
      <c r="R17" s="1"/>
      <c r="S17" s="1"/>
      <c r="T17" s="5"/>
      <c r="U17" s="6"/>
      <c r="V17" s="6"/>
      <c r="W17" s="6"/>
      <c r="X17" s="7"/>
    </row>
    <row r="18" customFormat="false" ht="15" hidden="false" customHeight="false" outlineLevel="0" collapsed="false">
      <c r="B18" s="1"/>
      <c r="C18" s="1"/>
      <c r="D18" s="1"/>
      <c r="E18" s="1"/>
      <c r="F18" s="1"/>
      <c r="G18" s="1"/>
      <c r="H18" s="5"/>
      <c r="I18" s="6"/>
      <c r="J18" s="6"/>
      <c r="K18" s="6"/>
      <c r="L18" s="7"/>
      <c r="N18" s="1"/>
      <c r="O18" s="1"/>
      <c r="P18" s="1"/>
      <c r="Q18" s="1"/>
      <c r="R18" s="1"/>
      <c r="S18" s="1"/>
      <c r="T18" s="5"/>
      <c r="U18" s="6"/>
      <c r="V18" s="6"/>
      <c r="W18" s="6"/>
      <c r="X18" s="7"/>
    </row>
    <row r="19" customFormat="false" ht="15" hidden="false" customHeight="false" outlineLevel="0" collapsed="false">
      <c r="B19" s="1"/>
      <c r="C19" s="1"/>
      <c r="D19" s="1"/>
      <c r="E19" s="1"/>
      <c r="F19" s="1"/>
      <c r="G19" s="1"/>
      <c r="H19" s="5"/>
      <c r="I19" s="6"/>
      <c r="J19" s="6"/>
      <c r="K19" s="6"/>
      <c r="L19" s="7"/>
      <c r="N19" s="1"/>
      <c r="O19" s="1"/>
      <c r="P19" s="1"/>
      <c r="Q19" s="1"/>
      <c r="R19" s="1"/>
      <c r="S19" s="1"/>
      <c r="T19" s="5"/>
      <c r="U19" s="6"/>
      <c r="V19" s="6"/>
      <c r="W19" s="6"/>
      <c r="X19" s="7"/>
    </row>
    <row r="20" customFormat="false" ht="15.75" hidden="false" customHeight="false" outlineLevel="0" collapsed="false">
      <c r="B20" s="1"/>
      <c r="C20" s="1"/>
      <c r="D20" s="1"/>
      <c r="E20" s="1"/>
      <c r="F20" s="1"/>
      <c r="G20" s="1"/>
      <c r="H20" s="8"/>
      <c r="I20" s="9"/>
      <c r="J20" s="9"/>
      <c r="K20" s="9"/>
      <c r="L20" s="10"/>
      <c r="N20" s="1"/>
      <c r="O20" s="1"/>
      <c r="P20" s="1"/>
      <c r="Q20" s="1"/>
      <c r="R20" s="1"/>
      <c r="S20" s="1"/>
      <c r="T20" s="8"/>
      <c r="U20" s="9"/>
      <c r="V20" s="9"/>
      <c r="W20" s="9"/>
      <c r="X20" s="10"/>
    </row>
    <row r="23" customFormat="false" ht="15" hidden="false" customHeight="false" outlineLevel="0" collapsed="false">
      <c r="D23" s="12" t="s">
        <v>6</v>
      </c>
      <c r="E23" s="13"/>
      <c r="F23" s="13"/>
      <c r="G23" s="13"/>
      <c r="H23" s="13"/>
      <c r="I23" s="13"/>
      <c r="J23" s="13"/>
      <c r="K23" s="13"/>
      <c r="L23" s="13"/>
      <c r="M23" s="13"/>
      <c r="N23" s="13"/>
      <c r="O23" s="13"/>
      <c r="P23" s="13"/>
      <c r="Q23" s="13"/>
      <c r="R23" s="13"/>
      <c r="S23" s="13"/>
    </row>
    <row r="24" customFormat="false" ht="15" hidden="false" customHeight="false" outlineLevel="0" collapsed="false">
      <c r="D24" s="14" t="s">
        <v>7</v>
      </c>
      <c r="E24" s="13"/>
      <c r="F24" s="13"/>
      <c r="G24" s="13"/>
      <c r="H24" s="13"/>
      <c r="I24" s="13"/>
      <c r="J24" s="13"/>
      <c r="K24" s="13"/>
      <c r="L24" s="13"/>
      <c r="M24" s="13"/>
      <c r="N24" s="13"/>
      <c r="O24" s="13"/>
      <c r="P24" s="13"/>
      <c r="Q24" s="13"/>
      <c r="R24" s="13"/>
      <c r="S24" s="13"/>
    </row>
    <row r="25" customFormat="false" ht="15" hidden="false" customHeight="false" outlineLevel="0" collapsed="false">
      <c r="D25" s="13" t="s">
        <v>8</v>
      </c>
      <c r="E25" s="13"/>
      <c r="F25" s="13"/>
      <c r="G25" s="13"/>
      <c r="H25" s="13"/>
      <c r="I25" s="13"/>
      <c r="J25" s="13"/>
      <c r="K25" s="13"/>
      <c r="L25" s="13"/>
      <c r="M25" s="13"/>
      <c r="N25" s="13"/>
      <c r="O25" s="13"/>
      <c r="P25" s="13"/>
      <c r="Q25" s="13"/>
      <c r="R25" s="13"/>
      <c r="S25" s="13"/>
    </row>
    <row r="26" customFormat="false" ht="15" hidden="false" customHeight="false" outlineLevel="0" collapsed="false">
      <c r="D26" s="13" t="s">
        <v>9</v>
      </c>
      <c r="E26" s="13"/>
      <c r="F26" s="13"/>
      <c r="G26" s="13"/>
      <c r="H26" s="13"/>
      <c r="I26" s="13"/>
      <c r="J26" s="13"/>
      <c r="K26" s="13"/>
      <c r="L26" s="13"/>
      <c r="M26" s="13"/>
      <c r="N26" s="13"/>
      <c r="O26" s="13"/>
      <c r="P26" s="13"/>
      <c r="Q26" s="13"/>
      <c r="R26" s="13"/>
      <c r="S26" s="13"/>
    </row>
  </sheetData>
  <sheetProtection sheet="true" password="83af" objects="true" scenarios="true" selectLockedCells="true"/>
  <mergeCells count="6">
    <mergeCell ref="B4:G8"/>
    <mergeCell ref="N4:S8"/>
    <mergeCell ref="B10:G14"/>
    <mergeCell ref="N10:S14"/>
    <mergeCell ref="B16:G20"/>
    <mergeCell ref="N16:S20"/>
  </mergeCells>
  <printOptions headings="false" gridLines="false" gridLinesSet="true" horizontalCentered="false" verticalCentered="false"/>
  <pageMargins left="0.7" right="0.7" top="0.75" bottom="0.75" header="0.511805555555555" footer="0.3"/>
  <pageSetup paperSize="1"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&amp;LRESTRICTED</oddFooter>
  </headerFooter>
  <drawing r:id="rId1"/>
</worksheet>
</file>

<file path=xl/worksheets/sheet2.xml><?xml version="1.0" encoding="utf-8"?>
<worksheet xmlns="http://schemas.openxmlformats.org/spreadsheetml/2006/main" xmlns:r="http://schemas.openxmlformats.org/officeDocument/2006/relationships">
  <sheetPr filterMode="false">
    <pageSetUpPr fitToPage="true"/>
  </sheetPr>
  <dimension ref="B1:S208"/>
  <sheetViews>
    <sheetView windowProtection="false" showFormulas="false" showGridLines="false" showRowColHeaders="false" showZeros="true" rightToLeft="false" tabSelected="false" showOutlineSymbols="true" defaultGridColor="true" view="normal" topLeftCell="A1" colorId="64" zoomScale="100" zoomScaleNormal="100" zoomScalePageLayoutView="100" workbookViewId="0">
      <selection pane="topLeft" activeCell="E7" activeCellId="0" sqref="E7"/>
    </sheetView>
  </sheetViews>
  <sheetFormatPr defaultRowHeight="15"/>
  <cols>
    <col collapsed="false" hidden="false" max="2" min="1" style="0" width="3.64372469635628"/>
    <col collapsed="false" hidden="false" max="4" min="3" style="0" width="8.57085020242915"/>
    <col collapsed="false" hidden="false" max="5" min="5" style="0" width="10.2834008097166"/>
    <col collapsed="false" hidden="false" max="6" min="6" style="0" width="13.2834008097166"/>
    <col collapsed="false" hidden="false" max="7" min="7" style="0" width="8.03238866396761"/>
    <col collapsed="false" hidden="false" max="8" min="8" style="0" width="12.8542510121458"/>
    <col collapsed="false" hidden="false" max="9" min="9" style="0" width="13.2834008097166"/>
    <col collapsed="false" hidden="false" max="10" min="10" style="0" width="13.9271255060729"/>
    <col collapsed="false" hidden="false" max="11" min="11" style="0" width="13.3886639676113"/>
    <col collapsed="false" hidden="false" max="12" min="12" style="0" width="3.8582995951417"/>
    <col collapsed="false" hidden="false" max="13" min="13" style="0" width="3.64372469635628"/>
    <col collapsed="false" hidden="false" max="1025" min="14" style="0" width="8.57085020242915"/>
  </cols>
  <sheetData>
    <row r="1" customFormat="false" ht="15" hidden="false" customHeight="true" outlineLevel="0" collapsed="false"/>
    <row r="2" customFormat="false" ht="8.25" hidden="false" customHeight="true" outlineLevel="0" collapsed="false">
      <c r="B2" s="15"/>
      <c r="C2" s="16"/>
      <c r="D2" s="16"/>
      <c r="E2" s="16"/>
      <c r="F2" s="16"/>
      <c r="G2" s="16"/>
      <c r="H2" s="16"/>
      <c r="I2" s="16"/>
      <c r="J2" s="16"/>
      <c r="K2" s="17" t="n">
        <v>1</v>
      </c>
      <c r="L2" s="17"/>
    </row>
    <row r="3" customFormat="false" ht="15.75" hidden="false" customHeight="false" outlineLevel="0" collapsed="false">
      <c r="B3" s="18"/>
      <c r="C3" s="19" t="s">
        <v>10</v>
      </c>
      <c r="D3" s="19"/>
      <c r="E3" s="19"/>
      <c r="F3" s="19"/>
      <c r="G3" s="19"/>
      <c r="H3" s="19"/>
      <c r="I3" s="19"/>
      <c r="J3" s="19"/>
      <c r="K3" s="17"/>
      <c r="L3" s="17"/>
    </row>
    <row r="4" customFormat="false" ht="15.75" hidden="false" customHeight="false" outlineLevel="0" collapsed="false">
      <c r="B4" s="18"/>
      <c r="C4" s="20"/>
      <c r="D4" s="11"/>
      <c r="E4" s="11"/>
      <c r="F4" s="11"/>
      <c r="G4" s="20" t="s">
        <v>11</v>
      </c>
      <c r="H4" s="11"/>
      <c r="I4" s="11"/>
      <c r="J4" s="11"/>
      <c r="K4" s="11"/>
      <c r="L4" s="21"/>
    </row>
    <row r="5" customFormat="false" ht="15.75" hidden="false" customHeight="false" outlineLevel="0" collapsed="false">
      <c r="B5" s="18"/>
      <c r="C5" s="11"/>
      <c r="D5" s="11"/>
      <c r="E5" s="11"/>
      <c r="F5" s="11"/>
      <c r="G5" s="11"/>
      <c r="H5" s="11"/>
      <c r="I5" s="11"/>
      <c r="J5" s="20" t="s">
        <v>12</v>
      </c>
      <c r="K5" s="22" t="n">
        <v>1</v>
      </c>
      <c r="L5" s="21"/>
    </row>
    <row r="6" customFormat="false" ht="15.75" hidden="false" customHeight="false" outlineLevel="0" collapsed="false">
      <c r="B6" s="18"/>
      <c r="C6" s="11"/>
      <c r="D6" s="11"/>
      <c r="E6" s="11"/>
      <c r="F6" s="11"/>
      <c r="G6" s="11"/>
      <c r="H6" s="11"/>
      <c r="I6" s="11"/>
      <c r="J6" s="11"/>
      <c r="K6" s="11"/>
      <c r="L6" s="21"/>
    </row>
    <row r="7" customFormat="false" ht="15.75" hidden="false" customHeight="false" outlineLevel="0" collapsed="false">
      <c r="B7" s="18"/>
      <c r="C7" s="23" t="s">
        <v>13</v>
      </c>
      <c r="D7" s="23"/>
      <c r="E7" s="24"/>
      <c r="F7" s="24"/>
      <c r="G7" s="20"/>
      <c r="H7" s="20" t="s">
        <v>14</v>
      </c>
      <c r="I7" s="24"/>
      <c r="J7" s="24"/>
      <c r="K7" s="20"/>
      <c r="L7" s="21"/>
    </row>
    <row r="8" customFormat="false" ht="15.75" hidden="false" customHeight="false" outlineLevel="0" collapsed="false">
      <c r="B8" s="18"/>
      <c r="C8" s="23" t="s">
        <v>15</v>
      </c>
      <c r="D8" s="23"/>
      <c r="E8" s="24"/>
      <c r="F8" s="24"/>
      <c r="G8" s="20"/>
      <c r="H8" s="25" t="s">
        <v>16</v>
      </c>
      <c r="I8" s="24"/>
      <c r="J8" s="24"/>
      <c r="K8" s="20"/>
      <c r="L8" s="21"/>
    </row>
    <row r="9" customFormat="false" ht="15.75" hidden="false" customHeight="false" outlineLevel="0" collapsed="false">
      <c r="B9" s="18"/>
      <c r="C9" s="23" t="s">
        <v>17</v>
      </c>
      <c r="D9" s="23"/>
      <c r="E9" s="26"/>
      <c r="F9" s="26"/>
      <c r="G9" s="20"/>
      <c r="H9" s="20" t="s">
        <v>18</v>
      </c>
      <c r="I9" s="20"/>
      <c r="J9" s="20"/>
      <c r="K9" s="20"/>
      <c r="L9" s="21"/>
    </row>
    <row r="10" customFormat="false" ht="15.75" hidden="false" customHeight="false" outlineLevel="0" collapsed="false">
      <c r="B10" s="18"/>
      <c r="C10" s="27" t="s">
        <v>19</v>
      </c>
      <c r="D10" s="27"/>
      <c r="E10" s="28"/>
      <c r="F10" s="28"/>
      <c r="G10" s="20"/>
      <c r="H10" s="20" t="s">
        <v>20</v>
      </c>
      <c r="I10" s="22" t="n">
        <v>1</v>
      </c>
      <c r="J10" s="20" t="s">
        <v>21</v>
      </c>
      <c r="K10" s="22" t="n">
        <v>1</v>
      </c>
      <c r="L10" s="21"/>
    </row>
    <row r="11" customFormat="false" ht="28.5" hidden="false" customHeight="true" outlineLevel="0" collapsed="false">
      <c r="B11" s="18"/>
      <c r="C11" s="27"/>
      <c r="D11" s="27"/>
      <c r="E11" s="28"/>
      <c r="F11" s="28"/>
      <c r="G11" s="20"/>
      <c r="H11" s="29" t="s">
        <v>22</v>
      </c>
      <c r="I11" s="22" t="n">
        <v>1</v>
      </c>
      <c r="J11" s="29" t="s">
        <v>23</v>
      </c>
      <c r="K11" s="22" t="n">
        <v>1</v>
      </c>
      <c r="L11" s="21"/>
    </row>
    <row r="12" customFormat="false" ht="9" hidden="false" customHeight="true" outlineLevel="0" collapsed="false">
      <c r="B12" s="18"/>
      <c r="C12" s="11"/>
      <c r="D12" s="11"/>
      <c r="E12" s="30"/>
      <c r="F12" s="30"/>
      <c r="G12" s="11"/>
      <c r="H12" s="11"/>
      <c r="I12" s="11"/>
      <c r="J12" s="11"/>
      <c r="K12" s="11"/>
      <c r="L12" s="21"/>
    </row>
    <row r="13" customFormat="false" ht="7.5" hidden="false" customHeight="true" outlineLevel="0" collapsed="false">
      <c r="B13" s="31"/>
      <c r="C13" s="32"/>
      <c r="D13" s="32"/>
      <c r="E13" s="33"/>
      <c r="F13" s="33"/>
      <c r="G13" s="32"/>
      <c r="H13" s="32"/>
      <c r="I13" s="32"/>
      <c r="J13" s="32"/>
      <c r="K13" s="32"/>
      <c r="L13" s="34"/>
    </row>
    <row r="14" customFormat="false" ht="15.75" hidden="false" customHeight="false" outlineLevel="0" collapsed="false">
      <c r="B14" s="18"/>
      <c r="C14" s="35" t="s">
        <v>24</v>
      </c>
      <c r="D14" s="35"/>
      <c r="E14" s="24"/>
      <c r="F14" s="24"/>
      <c r="G14" s="20"/>
      <c r="H14" s="36" t="s">
        <v>25</v>
      </c>
      <c r="I14" s="37"/>
      <c r="J14" s="37"/>
      <c r="K14" s="37"/>
      <c r="L14" s="38"/>
    </row>
    <row r="15" customFormat="false" ht="7.5" hidden="false" customHeight="true" outlineLevel="0" collapsed="false">
      <c r="B15" s="39"/>
      <c r="C15" s="40"/>
      <c r="D15" s="41"/>
      <c r="E15" s="42"/>
      <c r="F15" s="42"/>
      <c r="G15" s="41"/>
      <c r="H15" s="40"/>
      <c r="I15" s="43"/>
      <c r="J15" s="43"/>
      <c r="K15" s="43"/>
      <c r="L15" s="44"/>
    </row>
    <row r="16" customFormat="false" ht="7.5" hidden="false" customHeight="true" outlineLevel="0" collapsed="false">
      <c r="B16" s="18"/>
      <c r="C16" s="36"/>
      <c r="D16" s="11"/>
      <c r="E16" s="30"/>
      <c r="F16" s="30"/>
      <c r="G16" s="11"/>
      <c r="H16" s="36"/>
      <c r="I16" s="45"/>
      <c r="J16" s="45"/>
      <c r="K16" s="45"/>
      <c r="L16" s="38"/>
    </row>
    <row r="17" customFormat="false" ht="15" hidden="false" customHeight="false" outlineLevel="0" collapsed="false">
      <c r="B17" s="18"/>
      <c r="C17" s="46" t="s">
        <v>26</v>
      </c>
      <c r="D17" s="46"/>
      <c r="E17" s="46"/>
      <c r="F17" s="46"/>
      <c r="G17" s="46"/>
      <c r="H17" s="46"/>
      <c r="I17" s="46"/>
      <c r="J17" s="46"/>
      <c r="K17" s="46"/>
      <c r="L17" s="47"/>
    </row>
    <row r="18" customFormat="false" ht="15" hidden="false" customHeight="false" outlineLevel="0" collapsed="false">
      <c r="B18" s="18"/>
      <c r="C18" s="46"/>
      <c r="D18" s="46"/>
      <c r="E18" s="46"/>
      <c r="F18" s="46"/>
      <c r="G18" s="46"/>
      <c r="H18" s="46"/>
      <c r="I18" s="46"/>
      <c r="J18" s="46"/>
      <c r="K18" s="46"/>
      <c r="L18" s="47"/>
    </row>
    <row r="19" customFormat="false" ht="15" hidden="false" customHeight="false" outlineLevel="0" collapsed="false">
      <c r="B19" s="18"/>
      <c r="C19" s="48" t="s">
        <v>27</v>
      </c>
      <c r="D19" s="48"/>
      <c r="E19" s="48"/>
      <c r="F19" s="48"/>
      <c r="G19" s="48"/>
      <c r="H19" s="46"/>
      <c r="I19" s="46"/>
      <c r="J19" s="46"/>
      <c r="K19" s="46"/>
      <c r="L19" s="47"/>
    </row>
    <row r="20" customFormat="false" ht="15" hidden="false" customHeight="false" outlineLevel="0" collapsed="false">
      <c r="B20" s="18"/>
      <c r="C20" s="48"/>
      <c r="D20" s="46"/>
      <c r="E20" s="46"/>
      <c r="F20" s="46"/>
      <c r="G20" s="46"/>
      <c r="H20" s="46"/>
      <c r="I20" s="46"/>
      <c r="J20" s="46"/>
      <c r="K20" s="46"/>
      <c r="L20" s="47"/>
    </row>
    <row r="21" customFormat="false" ht="15" hidden="false" customHeight="false" outlineLevel="0" collapsed="false">
      <c r="B21" s="18"/>
      <c r="C21" s="20"/>
      <c r="D21" s="20"/>
      <c r="E21" s="20"/>
      <c r="F21" s="20"/>
      <c r="G21" s="20"/>
      <c r="H21" s="49" t="s">
        <v>28</v>
      </c>
      <c r="I21" s="49"/>
      <c r="J21" s="49" t="s">
        <v>29</v>
      </c>
      <c r="K21" s="20"/>
      <c r="L21" s="21"/>
    </row>
    <row r="22" customFormat="false" ht="15" hidden="false" customHeight="false" outlineLevel="0" collapsed="false">
      <c r="B22" s="18"/>
      <c r="C22" s="20"/>
      <c r="D22" s="49" t="s">
        <v>30</v>
      </c>
      <c r="E22" s="49"/>
      <c r="F22" s="49"/>
      <c r="G22" s="49"/>
      <c r="H22" s="50"/>
      <c r="I22" s="50"/>
      <c r="J22" s="51" t="n">
        <f aca="false">SUM('Int Advance'!G6:G161)</f>
        <v>0</v>
      </c>
      <c r="K22" s="20"/>
      <c r="L22" s="21"/>
    </row>
    <row r="23" customFormat="false" ht="15" hidden="false" customHeight="false" outlineLevel="0" collapsed="false">
      <c r="B23" s="18"/>
      <c r="C23" s="20"/>
      <c r="D23" s="52"/>
      <c r="E23" s="52"/>
      <c r="F23" s="52"/>
      <c r="G23" s="20"/>
      <c r="H23" s="20"/>
      <c r="I23" s="20"/>
      <c r="J23" s="20"/>
      <c r="K23" s="20"/>
      <c r="L23" s="21"/>
    </row>
    <row r="24" customFormat="false" ht="15" hidden="false" customHeight="false" outlineLevel="0" collapsed="false">
      <c r="B24" s="18"/>
      <c r="C24" s="48" t="s">
        <v>31</v>
      </c>
      <c r="D24" s="48"/>
      <c r="E24" s="48"/>
      <c r="F24" s="48"/>
      <c r="G24" s="48"/>
      <c r="H24" s="20"/>
      <c r="I24" s="20"/>
      <c r="J24" s="20"/>
      <c r="K24" s="20"/>
      <c r="L24" s="21"/>
    </row>
    <row r="25" customFormat="false" ht="15" hidden="false" customHeight="false" outlineLevel="0" collapsed="false">
      <c r="B25" s="18"/>
      <c r="C25" s="20"/>
      <c r="D25" s="52"/>
      <c r="E25" s="52"/>
      <c r="F25" s="52"/>
      <c r="G25" s="20"/>
      <c r="H25" s="20"/>
      <c r="I25" s="20"/>
      <c r="J25" s="20"/>
      <c r="K25" s="20"/>
      <c r="L25" s="21"/>
    </row>
    <row r="26" customFormat="false" ht="15" hidden="false" customHeight="false" outlineLevel="0" collapsed="false">
      <c r="B26" s="18"/>
      <c r="C26" s="20"/>
      <c r="D26" s="20"/>
      <c r="E26" s="20"/>
      <c r="F26" s="20"/>
      <c r="G26" s="20"/>
      <c r="H26" s="53" t="s">
        <v>28</v>
      </c>
      <c r="I26" s="53"/>
      <c r="J26" s="53" t="s">
        <v>29</v>
      </c>
      <c r="K26" s="20"/>
      <c r="L26" s="21"/>
    </row>
    <row r="27" customFormat="false" ht="15" hidden="false" customHeight="false" outlineLevel="0" collapsed="false">
      <c r="B27" s="18"/>
      <c r="C27" s="20"/>
      <c r="D27" s="53" t="s">
        <v>32</v>
      </c>
      <c r="E27" s="53"/>
      <c r="F27" s="53"/>
      <c r="G27" s="53"/>
      <c r="H27" s="54"/>
      <c r="I27" s="54"/>
      <c r="J27" s="55" t="n">
        <f aca="false">SUM('Int Expense'!G6:G61)</f>
        <v>0</v>
      </c>
      <c r="K27" s="20"/>
      <c r="L27" s="21"/>
    </row>
    <row r="28" customFormat="false" ht="15" hidden="false" customHeight="false" outlineLevel="0" collapsed="false">
      <c r="B28" s="18"/>
      <c r="C28" s="20"/>
      <c r="D28" s="56"/>
      <c r="E28" s="56"/>
      <c r="F28" s="56"/>
      <c r="G28" s="56"/>
      <c r="H28" s="20"/>
      <c r="I28" s="20"/>
      <c r="J28" s="20"/>
      <c r="K28" s="20"/>
      <c r="L28" s="21"/>
    </row>
    <row r="29" customFormat="false" ht="15" hidden="false" customHeight="false" outlineLevel="0" collapsed="false">
      <c r="B29" s="31"/>
      <c r="C29" s="57" t="s">
        <v>33</v>
      </c>
      <c r="D29" s="58"/>
      <c r="E29" s="58"/>
      <c r="F29" s="58"/>
      <c r="G29" s="58"/>
      <c r="H29" s="32"/>
      <c r="I29" s="32"/>
      <c r="J29" s="32"/>
      <c r="K29" s="32"/>
      <c r="L29" s="34"/>
    </row>
    <row r="30" customFormat="false" ht="15" hidden="false" customHeight="false" outlineLevel="0" collapsed="false">
      <c r="B30" s="18"/>
      <c r="C30" s="11"/>
      <c r="D30" s="11"/>
      <c r="E30" s="11"/>
      <c r="F30" s="11"/>
      <c r="G30" s="11"/>
      <c r="H30" s="59" t="s">
        <v>28</v>
      </c>
      <c r="I30" s="59"/>
      <c r="J30" s="59" t="s">
        <v>29</v>
      </c>
      <c r="K30" s="11"/>
      <c r="L30" s="21"/>
    </row>
    <row r="31" customFormat="false" ht="15" hidden="false" customHeight="false" outlineLevel="0" collapsed="false">
      <c r="B31" s="18"/>
      <c r="C31" s="20"/>
      <c r="D31" s="59" t="s">
        <v>34</v>
      </c>
      <c r="E31" s="59"/>
      <c r="F31" s="59"/>
      <c r="G31" s="59"/>
      <c r="H31" s="60" t="str">
        <f aca="false">IF(LEN(H22)&gt;0,H22,"")</f>
        <v/>
      </c>
      <c r="I31" s="60"/>
      <c r="J31" s="61" t="n">
        <f aca="false">IF(LEN(J22)&gt;0,J22,"")</f>
        <v>0</v>
      </c>
      <c r="K31" s="20"/>
      <c r="L31" s="21"/>
    </row>
    <row r="32" customFormat="false" ht="15" hidden="false" customHeight="false" outlineLevel="0" collapsed="false">
      <c r="B32" s="18"/>
      <c r="C32" s="20"/>
      <c r="D32" s="59" t="s">
        <v>32</v>
      </c>
      <c r="E32" s="59"/>
      <c r="F32" s="59"/>
      <c r="G32" s="59"/>
      <c r="H32" s="60" t="str">
        <f aca="false">IF(LEN(H27)&gt;0,H27,"")</f>
        <v/>
      </c>
      <c r="I32" s="60"/>
      <c r="J32" s="61" t="n">
        <f aca="false">IF(LEN(J27)&gt;0,J27,"")</f>
        <v>0</v>
      </c>
      <c r="K32" s="20"/>
      <c r="L32" s="21"/>
    </row>
    <row r="33" customFormat="false" ht="15" hidden="false" customHeight="false" outlineLevel="0" collapsed="false">
      <c r="B33" s="18"/>
      <c r="C33" s="20"/>
      <c r="D33" s="59" t="str">
        <f aca="false">IF(J31&gt;J32,"Total Payable by Employee (A) - (B)","Total Payable by HSDI (A) - (B)")</f>
        <v>Total Payable by HSDI (A) - (B)</v>
      </c>
      <c r="E33" s="59"/>
      <c r="F33" s="59"/>
      <c r="G33" s="59"/>
      <c r="H33" s="60" t="str">
        <f aca="false">IF(H31=H32,H31,"Adv. &amp; Exp. currency don't match")</f>
        <v/>
      </c>
      <c r="I33" s="60"/>
      <c r="J33" s="61" t="n">
        <f aca="false">IF(AND(LEN(J31)&gt;0,LEN(J32)&gt;0),IF(I33&lt;&gt;"Please enter a currency",ABS(J31-J32),"Please enter the amount"),"")</f>
        <v>0</v>
      </c>
      <c r="K33" s="20"/>
      <c r="L33" s="21"/>
    </row>
    <row r="34" customFormat="false" ht="15" hidden="false" customHeight="false" outlineLevel="0" collapsed="false">
      <c r="B34" s="39"/>
      <c r="C34" s="41"/>
      <c r="D34" s="41"/>
      <c r="E34" s="41"/>
      <c r="F34" s="41"/>
      <c r="G34" s="41"/>
      <c r="H34" s="41"/>
      <c r="I34" s="41"/>
      <c r="J34" s="41"/>
      <c r="K34" s="41"/>
      <c r="L34" s="62"/>
    </row>
    <row r="35" customFormat="false" ht="15" hidden="false" customHeight="false" outlineLevel="0" collapsed="false">
      <c r="B35" s="18"/>
      <c r="C35" s="63" t="s">
        <v>35</v>
      </c>
      <c r="D35" s="63"/>
      <c r="E35" s="20"/>
      <c r="F35" s="20"/>
      <c r="G35" s="20"/>
      <c r="H35" s="20"/>
      <c r="I35" s="20"/>
      <c r="J35" s="20"/>
      <c r="K35" s="20"/>
      <c r="L35" s="21"/>
    </row>
    <row r="36" customFormat="false" ht="16.5" hidden="false" customHeight="true" outlineLevel="0" collapsed="false">
      <c r="B36" s="18"/>
      <c r="C36" s="20"/>
      <c r="D36" s="64" t="s">
        <v>36</v>
      </c>
      <c r="E36" s="64"/>
      <c r="F36" s="64"/>
      <c r="G36" s="64"/>
      <c r="H36" s="64"/>
      <c r="I36" s="64"/>
      <c r="J36" s="64"/>
      <c r="K36" s="64"/>
      <c r="L36" s="21"/>
      <c r="N36" s="65"/>
      <c r="O36" s="65"/>
      <c r="P36" s="66"/>
      <c r="Q36" s="67"/>
      <c r="R36" s="67"/>
      <c r="S36" s="68"/>
    </row>
    <row r="37" customFormat="false" ht="16.5" hidden="false" customHeight="true" outlineLevel="0" collapsed="false">
      <c r="B37" s="18"/>
      <c r="C37" s="20"/>
      <c r="D37" s="64"/>
      <c r="E37" s="64"/>
      <c r="F37" s="64"/>
      <c r="G37" s="64"/>
      <c r="H37" s="64"/>
      <c r="I37" s="64"/>
      <c r="J37" s="64"/>
      <c r="K37" s="64"/>
      <c r="L37" s="21"/>
      <c r="N37" s="65"/>
      <c r="O37" s="65"/>
      <c r="P37" s="66"/>
      <c r="Q37" s="67"/>
      <c r="R37" s="67"/>
      <c r="S37" s="68"/>
    </row>
    <row r="38" customFormat="false" ht="30.75" hidden="false" customHeight="true" outlineLevel="0" collapsed="false">
      <c r="B38" s="18"/>
      <c r="C38" s="20"/>
      <c r="D38" s="64"/>
      <c r="E38" s="64"/>
      <c r="F38" s="64"/>
      <c r="G38" s="64"/>
      <c r="H38" s="64"/>
      <c r="I38" s="64"/>
      <c r="J38" s="64"/>
      <c r="K38" s="64"/>
      <c r="L38" s="21"/>
    </row>
    <row r="39" customFormat="false" ht="15" hidden="false" customHeight="false" outlineLevel="0" collapsed="false">
      <c r="B39" s="18"/>
      <c r="C39" s="20"/>
      <c r="D39" s="20"/>
      <c r="E39" s="20"/>
      <c r="H39" s="20"/>
      <c r="I39" s="41"/>
      <c r="J39" s="41"/>
      <c r="L39" s="21"/>
    </row>
    <row r="40" customFormat="false" ht="15" hidden="false" customHeight="false" outlineLevel="0" collapsed="false">
      <c r="B40" s="18"/>
      <c r="C40" s="69" t="s">
        <v>37</v>
      </c>
      <c r="D40" s="69"/>
      <c r="E40" s="69"/>
      <c r="H40" s="70"/>
      <c r="I40" s="70" t="s">
        <v>38</v>
      </c>
      <c r="J40" s="70"/>
      <c r="L40" s="21"/>
    </row>
    <row r="41" customFormat="false" ht="15" hidden="false" customHeight="false" outlineLevel="0" collapsed="false">
      <c r="B41" s="18"/>
      <c r="C41" s="20" t="s">
        <v>39</v>
      </c>
      <c r="D41" s="20"/>
      <c r="E41" s="20" t="str">
        <f aca="false">IF(LEN(E7)&gt;0,E7,"")</f>
        <v/>
      </c>
      <c r="H41" s="20"/>
      <c r="I41" s="20" t="s">
        <v>40</v>
      </c>
      <c r="J41" s="20"/>
      <c r="L41" s="21"/>
    </row>
    <row r="42" customFormat="false" ht="15" hidden="false" customHeight="false" outlineLevel="0" collapsed="false">
      <c r="B42" s="18"/>
      <c r="C42" s="20" t="s">
        <v>41</v>
      </c>
      <c r="D42" s="20"/>
      <c r="E42" s="20"/>
      <c r="F42" s="20"/>
      <c r="G42" s="20"/>
      <c r="H42" s="20"/>
      <c r="I42" s="20" t="s">
        <v>41</v>
      </c>
      <c r="J42" s="20"/>
      <c r="K42" s="20"/>
      <c r="L42" s="21"/>
    </row>
    <row r="43" customFormat="false" ht="32.25" hidden="false" customHeight="true" outlineLevel="0" collapsed="false">
      <c r="B43" s="18"/>
      <c r="C43" s="20"/>
      <c r="D43" s="20"/>
      <c r="E43" s="20"/>
      <c r="F43" s="20"/>
      <c r="G43" s="20"/>
      <c r="H43" s="20"/>
      <c r="I43" s="20"/>
      <c r="J43" s="20"/>
      <c r="K43" s="20"/>
      <c r="L43" s="21"/>
    </row>
    <row r="44" customFormat="false" ht="15" hidden="false" customHeight="false" outlineLevel="0" collapsed="false">
      <c r="B44" s="18"/>
      <c r="C44" s="20"/>
      <c r="D44" s="20"/>
      <c r="E44" s="20"/>
      <c r="F44" s="20"/>
      <c r="G44" s="20"/>
      <c r="H44" s="20"/>
      <c r="I44" s="41"/>
      <c r="J44" s="41"/>
      <c r="K44" s="20"/>
      <c r="L44" s="21"/>
    </row>
    <row r="45" customFormat="false" ht="15" hidden="false" customHeight="false" outlineLevel="0" collapsed="false">
      <c r="B45" s="18"/>
      <c r="C45" s="69" t="s">
        <v>42</v>
      </c>
      <c r="D45" s="69"/>
      <c r="E45" s="69"/>
      <c r="F45" s="20"/>
      <c r="G45" s="20"/>
      <c r="H45" s="20"/>
      <c r="I45" s="70" t="s">
        <v>43</v>
      </c>
      <c r="J45" s="70"/>
      <c r="K45" s="70"/>
      <c r="L45" s="21"/>
    </row>
    <row r="46" customFormat="false" ht="15" hidden="false" customHeight="false" outlineLevel="0" collapsed="false">
      <c r="B46" s="18"/>
      <c r="C46" s="20" t="s">
        <v>41</v>
      </c>
      <c r="D46" s="20"/>
      <c r="E46" s="20"/>
      <c r="F46" s="20"/>
      <c r="G46" s="20"/>
      <c r="H46" s="20"/>
      <c r="I46" s="23" t="s">
        <v>41</v>
      </c>
      <c r="J46" s="23"/>
      <c r="K46" s="23"/>
      <c r="L46" s="21"/>
    </row>
    <row r="47" customFormat="false" ht="15" hidden="false" customHeight="false" outlineLevel="0" collapsed="false">
      <c r="B47" s="18"/>
      <c r="C47" s="20"/>
      <c r="D47" s="20"/>
      <c r="E47" s="20"/>
      <c r="F47" s="20"/>
      <c r="G47" s="20"/>
      <c r="H47" s="20"/>
      <c r="I47" s="20"/>
      <c r="J47" s="20"/>
      <c r="K47" s="20"/>
      <c r="L47" s="21"/>
    </row>
    <row r="48" customFormat="false" ht="15" hidden="false" customHeight="false" outlineLevel="0" collapsed="false">
      <c r="B48" s="31"/>
      <c r="C48" s="57" t="s">
        <v>44</v>
      </c>
      <c r="D48" s="32"/>
      <c r="E48" s="32"/>
      <c r="F48" s="32"/>
      <c r="G48" s="32"/>
      <c r="H48" s="32"/>
      <c r="I48" s="32"/>
      <c r="J48" s="32"/>
      <c r="K48" s="32"/>
      <c r="L48" s="34"/>
    </row>
    <row r="49" customFormat="false" ht="15" hidden="false" customHeight="false" outlineLevel="0" collapsed="false">
      <c r="B49" s="18"/>
      <c r="C49" s="71" t="n">
        <v>1</v>
      </c>
      <c r="D49" s="72" t="s">
        <v>45</v>
      </c>
      <c r="E49" s="72"/>
      <c r="F49" s="71" t="str">
        <f aca="false">IF(IFERROR(VLOOKUP("Foreign Hotel Costs",'Int Expense'!$B$5:$B$61,1,0),"Not Required")="Not Required","Not Required","Required")</f>
        <v>Not Required</v>
      </c>
      <c r="G49" s="20"/>
      <c r="H49" s="20"/>
      <c r="I49" s="20"/>
      <c r="J49" s="20"/>
      <c r="K49" s="20"/>
      <c r="L49" s="21"/>
    </row>
    <row r="50" customFormat="false" ht="15" hidden="false" customHeight="false" outlineLevel="0" collapsed="false">
      <c r="B50" s="18"/>
      <c r="C50" s="71" t="n">
        <v>2</v>
      </c>
      <c r="D50" s="72" t="s">
        <v>46</v>
      </c>
      <c r="E50" s="72"/>
      <c r="F50" s="71" t="str">
        <f aca="false">IF(IFERROR(VLOOKUP("Car / Taxi / Train Fare",'Int Expense'!$B$5:$B$61,1,0),"Not Required")="Not Required","Not Required","Required")</f>
        <v>Not Required</v>
      </c>
      <c r="G50" s="20"/>
      <c r="H50" s="20"/>
      <c r="I50" s="20"/>
      <c r="J50" s="20"/>
      <c r="K50" s="20"/>
      <c r="L50" s="21"/>
    </row>
    <row r="51" customFormat="false" ht="15" hidden="false" customHeight="false" outlineLevel="0" collapsed="false">
      <c r="B51" s="18"/>
      <c r="C51" s="71" t="n">
        <v>3</v>
      </c>
      <c r="D51" s="72" t="s">
        <v>47</v>
      </c>
      <c r="E51" s="72"/>
      <c r="F51" s="71" t="str">
        <f aca="false">IF(IFERROR(VLOOKUP("Travel Card",'Int Expense'!$H$5:$H$61,1,0),"Not Required")="Not Required","Not Required","Required")</f>
        <v>Not Required</v>
      </c>
      <c r="G51" s="20"/>
      <c r="H51" s="20"/>
      <c r="I51" s="20"/>
      <c r="J51" s="20"/>
      <c r="K51" s="20"/>
      <c r="L51" s="21"/>
    </row>
    <row r="52" customFormat="false" ht="15" hidden="false" customHeight="false" outlineLevel="0" collapsed="false">
      <c r="B52" s="18"/>
      <c r="C52" s="71" t="n">
        <v>4</v>
      </c>
      <c r="D52" s="72" t="s">
        <v>48</v>
      </c>
      <c r="E52" s="72"/>
      <c r="F52" s="71" t="str">
        <f aca="false">IF(IFERROR(VLOOKUP("Long Distance Calls",'Int Expense'!$B$5:$B$61,1,0),"Not Required")="Not Required","Not Required","Required")</f>
        <v>Not Required</v>
      </c>
      <c r="G52" s="20"/>
      <c r="H52" s="20"/>
      <c r="I52" s="20"/>
      <c r="J52" s="20"/>
      <c r="K52" s="20"/>
      <c r="L52" s="21"/>
    </row>
    <row r="53" customFormat="false" ht="15" hidden="false" customHeight="false" outlineLevel="0" collapsed="false">
      <c r="B53" s="18"/>
      <c r="C53" s="71" t="n">
        <v>5</v>
      </c>
      <c r="D53" s="72" t="s">
        <v>49</v>
      </c>
      <c r="E53" s="72"/>
      <c r="F53" s="71" t="str">
        <f aca="false">IF(IFERROR(VLOOKUP("Miscellaneous",'Int Expense'!$B$5:$B$61,1,0),"Not Required")="Not Required","Not Required","Required")</f>
        <v>Not Required</v>
      </c>
      <c r="G53" s="20"/>
      <c r="H53" s="20"/>
      <c r="I53" s="20"/>
      <c r="J53" s="20"/>
      <c r="K53" s="20"/>
      <c r="L53" s="21"/>
    </row>
    <row r="54" customFormat="false" ht="15" hidden="false" customHeight="false" outlineLevel="0" collapsed="false">
      <c r="B54" s="18"/>
      <c r="C54" s="20"/>
      <c r="D54" s="23"/>
      <c r="E54" s="23"/>
      <c r="F54" s="20"/>
      <c r="G54" s="20"/>
      <c r="H54" s="20"/>
      <c r="I54" s="20"/>
      <c r="J54" s="20"/>
      <c r="K54" s="20"/>
      <c r="L54" s="21"/>
    </row>
    <row r="55" customFormat="false" ht="15" hidden="false" customHeight="false" outlineLevel="0" collapsed="false">
      <c r="B55" s="18"/>
      <c r="C55" s="20"/>
      <c r="D55" s="23"/>
      <c r="E55" s="23"/>
      <c r="F55" s="20"/>
      <c r="G55" s="20"/>
      <c r="H55" s="20"/>
      <c r="I55" s="20"/>
      <c r="J55" s="20"/>
      <c r="K55" s="20"/>
      <c r="L55" s="21"/>
    </row>
    <row r="56" customFormat="false" ht="15" hidden="false" customHeight="false" outlineLevel="0" collapsed="false">
      <c r="B56" s="18"/>
      <c r="C56" s="20"/>
      <c r="D56" s="20"/>
      <c r="E56" s="20"/>
      <c r="F56" s="20"/>
      <c r="G56" s="20"/>
      <c r="H56" s="20"/>
      <c r="I56" s="20"/>
      <c r="J56" s="20"/>
      <c r="K56" s="20"/>
      <c r="L56" s="21"/>
    </row>
    <row r="57" customFormat="false" ht="15" hidden="false" customHeight="false" outlineLevel="0" collapsed="false">
      <c r="B57" s="18"/>
      <c r="C57" s="36" t="s">
        <v>50</v>
      </c>
      <c r="D57" s="20"/>
      <c r="E57" s="20"/>
      <c r="F57" s="20"/>
      <c r="G57" s="20"/>
      <c r="H57" s="20"/>
      <c r="I57" s="20"/>
      <c r="J57" s="20"/>
      <c r="K57" s="20"/>
      <c r="L57" s="21"/>
    </row>
    <row r="58" customFormat="false" ht="15" hidden="false" customHeight="false" outlineLevel="0" collapsed="false">
      <c r="B58" s="18"/>
      <c r="C58" s="73" t="n">
        <v>1</v>
      </c>
      <c r="D58" s="74" t="s">
        <v>51</v>
      </c>
      <c r="E58" s="74"/>
      <c r="F58" s="74"/>
      <c r="G58" s="74"/>
      <c r="H58" s="74"/>
      <c r="I58" s="74"/>
      <c r="J58" s="74"/>
      <c r="K58" s="74"/>
      <c r="L58" s="21"/>
    </row>
    <row r="59" customFormat="false" ht="15" hidden="false" customHeight="true" outlineLevel="0" collapsed="false">
      <c r="B59" s="18"/>
      <c r="C59" s="73" t="n">
        <v>2</v>
      </c>
      <c r="D59" s="74" t="s">
        <v>52</v>
      </c>
      <c r="E59" s="74"/>
      <c r="F59" s="74"/>
      <c r="G59" s="74"/>
      <c r="H59" s="74"/>
      <c r="I59" s="74"/>
      <c r="J59" s="74"/>
      <c r="K59" s="74"/>
      <c r="L59" s="21"/>
    </row>
    <row r="60" customFormat="false" ht="15" hidden="false" customHeight="true" outlineLevel="0" collapsed="false">
      <c r="B60" s="18"/>
      <c r="C60" s="73" t="n">
        <v>3</v>
      </c>
      <c r="D60" s="74" t="s">
        <v>53</v>
      </c>
      <c r="E60" s="74"/>
      <c r="F60" s="74"/>
      <c r="G60" s="74"/>
      <c r="H60" s="74"/>
      <c r="I60" s="74"/>
      <c r="J60" s="74"/>
      <c r="K60" s="74"/>
      <c r="L60" s="21"/>
    </row>
    <row r="61" customFormat="false" ht="21.75" hidden="false" customHeight="true" outlineLevel="0" collapsed="false">
      <c r="B61" s="18"/>
      <c r="C61" s="73" t="n">
        <v>4</v>
      </c>
      <c r="D61" s="75" t="s">
        <v>54</v>
      </c>
      <c r="E61" s="75"/>
      <c r="F61" s="75"/>
      <c r="G61" s="75"/>
      <c r="H61" s="75"/>
      <c r="I61" s="75"/>
      <c r="J61" s="75"/>
      <c r="K61" s="75"/>
      <c r="L61" s="21"/>
    </row>
    <row r="62" customFormat="false" ht="24.75" hidden="false" customHeight="true" outlineLevel="0" collapsed="false">
      <c r="B62" s="18"/>
      <c r="C62" s="20"/>
      <c r="D62" s="27"/>
      <c r="E62" s="27"/>
      <c r="F62" s="27"/>
      <c r="G62" s="27"/>
      <c r="H62" s="27"/>
      <c r="I62" s="27"/>
      <c r="J62" s="27"/>
      <c r="K62" s="27"/>
      <c r="L62" s="21"/>
    </row>
    <row r="63" customFormat="false" ht="15" hidden="false" customHeight="false" outlineLevel="0" collapsed="false">
      <c r="B63" s="18"/>
      <c r="C63" s="20"/>
      <c r="D63" s="27"/>
      <c r="E63" s="27"/>
      <c r="F63" s="27"/>
      <c r="G63" s="27"/>
      <c r="H63" s="27"/>
      <c r="I63" s="27"/>
      <c r="J63" s="27"/>
      <c r="K63" s="27"/>
      <c r="L63" s="21"/>
    </row>
    <row r="64" customFormat="false" ht="15" hidden="false" customHeight="false" outlineLevel="0" collapsed="false">
      <c r="B64" s="18"/>
      <c r="C64" s="20"/>
      <c r="D64" s="27"/>
      <c r="E64" s="27"/>
      <c r="F64" s="27"/>
      <c r="G64" s="27"/>
      <c r="H64" s="27"/>
      <c r="I64" s="27"/>
      <c r="J64" s="27"/>
      <c r="K64" s="27"/>
      <c r="L64" s="21"/>
    </row>
    <row r="65" customFormat="false" ht="9" hidden="false" customHeight="true" outlineLevel="0" collapsed="false">
      <c r="B65" s="76"/>
      <c r="C65" s="77" t="s">
        <v>55</v>
      </c>
      <c r="D65" s="78"/>
      <c r="E65" s="78"/>
      <c r="F65" s="78"/>
      <c r="G65" s="78"/>
      <c r="H65" s="79"/>
      <c r="I65" s="79"/>
      <c r="J65" s="79"/>
      <c r="K65" s="79"/>
      <c r="L65" s="80"/>
    </row>
    <row r="66" customFormat="false" ht="15" hidden="true" customHeight="false" outlineLevel="0" collapsed="false">
      <c r="B66" s="15"/>
      <c r="C66" s="81"/>
      <c r="D66" s="81"/>
      <c r="E66" s="81"/>
      <c r="F66" s="81"/>
      <c r="G66" s="81"/>
      <c r="H66" s="81"/>
      <c r="I66" s="81"/>
      <c r="J66" s="81"/>
      <c r="K66" s="81"/>
      <c r="L66" s="82"/>
    </row>
    <row r="67" customFormat="false" ht="15" hidden="true" customHeight="false" outlineLevel="0" collapsed="false">
      <c r="B67" s="18"/>
      <c r="C67" s="52" t="s">
        <v>56</v>
      </c>
      <c r="D67" s="52"/>
      <c r="E67" s="52"/>
      <c r="F67" s="52"/>
      <c r="G67" s="52"/>
      <c r="H67" s="52"/>
      <c r="I67" s="52"/>
      <c r="J67" s="52"/>
      <c r="K67" s="52"/>
      <c r="L67" s="21"/>
    </row>
    <row r="68" customFormat="false" ht="15" hidden="true" customHeight="true" outlineLevel="0" collapsed="false">
      <c r="B68" s="18"/>
      <c r="C68" s="83" t="s">
        <v>57</v>
      </c>
      <c r="D68" s="83"/>
      <c r="E68" s="83"/>
      <c r="F68" s="83"/>
      <c r="G68" s="83"/>
      <c r="H68" s="83"/>
      <c r="I68" s="83"/>
      <c r="J68" s="11"/>
      <c r="K68" s="11"/>
      <c r="L68" s="21"/>
    </row>
    <row r="69" customFormat="false" ht="8.25" hidden="true" customHeight="true" outlineLevel="0" collapsed="false">
      <c r="B69" s="18"/>
      <c r="C69" s="84"/>
      <c r="D69" s="85"/>
      <c r="E69" s="85"/>
      <c r="F69" s="85"/>
      <c r="G69" s="85"/>
      <c r="H69" s="85"/>
      <c r="I69" s="85"/>
      <c r="J69" s="86"/>
      <c r="K69" s="86"/>
      <c r="L69" s="87"/>
    </row>
    <row r="70" customFormat="false" ht="5.25" hidden="true" customHeight="true" outlineLevel="0" collapsed="false">
      <c r="B70" s="88"/>
      <c r="C70" s="89"/>
      <c r="D70" s="89"/>
      <c r="E70" s="89"/>
      <c r="F70" s="89"/>
      <c r="G70" s="89"/>
      <c r="H70" s="85"/>
      <c r="I70" s="85"/>
      <c r="J70" s="86"/>
      <c r="K70" s="86"/>
      <c r="L70" s="87"/>
    </row>
    <row r="71" customFormat="false" ht="8.25" hidden="true" customHeight="true" outlineLevel="0" collapsed="false">
      <c r="B71" s="18"/>
      <c r="C71" s="86"/>
      <c r="D71" s="90"/>
      <c r="E71" s="90"/>
      <c r="F71" s="90"/>
      <c r="G71" s="90"/>
      <c r="H71" s="90"/>
      <c r="I71" s="90"/>
      <c r="J71" s="86"/>
      <c r="K71" s="86"/>
      <c r="L71" s="87"/>
    </row>
    <row r="72" customFormat="false" ht="15" hidden="true" customHeight="false" outlineLevel="0" collapsed="false">
      <c r="B72" s="18"/>
      <c r="C72" s="11"/>
      <c r="D72" s="91" t="s">
        <v>58</v>
      </c>
      <c r="E72" s="92" t="s">
        <v>59</v>
      </c>
      <c r="F72" s="92"/>
      <c r="G72" s="92"/>
      <c r="H72" s="93" t="s">
        <v>28</v>
      </c>
      <c r="I72" s="93"/>
      <c r="J72" s="91" t="s">
        <v>29</v>
      </c>
      <c r="K72" s="11"/>
      <c r="L72" s="21"/>
    </row>
    <row r="73" customFormat="false" ht="15" hidden="true" customHeight="false" outlineLevel="0" collapsed="false">
      <c r="B73" s="18"/>
      <c r="C73" s="11"/>
      <c r="D73" s="94" t="n">
        <v>1</v>
      </c>
      <c r="E73" s="95" t="s">
        <v>60</v>
      </c>
      <c r="F73" s="95"/>
      <c r="G73" s="95"/>
      <c r="H73" s="95"/>
      <c r="I73" s="95"/>
      <c r="J73" s="96"/>
      <c r="K73" s="11"/>
      <c r="L73" s="21"/>
    </row>
    <row r="74" customFormat="false" ht="15" hidden="true" customHeight="false" outlineLevel="0" collapsed="false">
      <c r="B74" s="18"/>
      <c r="C74" s="11"/>
      <c r="D74" s="94" t="n">
        <v>2</v>
      </c>
      <c r="E74" s="95" t="s">
        <v>61</v>
      </c>
      <c r="F74" s="95"/>
      <c r="G74" s="95"/>
      <c r="H74" s="95"/>
      <c r="I74" s="95"/>
      <c r="J74" s="96"/>
      <c r="K74" s="11"/>
      <c r="L74" s="21"/>
    </row>
    <row r="75" customFormat="false" ht="15" hidden="true" customHeight="false" outlineLevel="0" collapsed="false">
      <c r="B75" s="18"/>
      <c r="C75" s="11"/>
      <c r="D75" s="94" t="n">
        <v>3</v>
      </c>
      <c r="E75" s="95" t="s">
        <v>62</v>
      </c>
      <c r="F75" s="95"/>
      <c r="G75" s="95"/>
      <c r="H75" s="95"/>
      <c r="I75" s="95"/>
      <c r="J75" s="96"/>
      <c r="K75" s="11"/>
      <c r="L75" s="21"/>
    </row>
    <row r="76" customFormat="false" ht="15.75" hidden="true" customHeight="false" outlineLevel="0" collapsed="false">
      <c r="B76" s="18"/>
      <c r="C76" s="11"/>
      <c r="D76" s="97" t="s">
        <v>63</v>
      </c>
      <c r="E76" s="20"/>
      <c r="F76" s="20"/>
      <c r="G76" s="20"/>
      <c r="H76" s="20"/>
      <c r="I76" s="20"/>
      <c r="J76" s="11"/>
      <c r="K76" s="11"/>
      <c r="L76" s="21"/>
    </row>
    <row r="77" customFormat="false" ht="15.75" hidden="true" customHeight="false" outlineLevel="0" collapsed="false">
      <c r="B77" s="18"/>
      <c r="C77" s="20"/>
      <c r="D77" s="23" t="s">
        <v>64</v>
      </c>
      <c r="E77" s="23"/>
      <c r="F77" s="98" t="str">
        <f aca="false">IF(LEN(I14)&gt;0,I14,"")</f>
        <v/>
      </c>
      <c r="G77" s="98"/>
      <c r="H77" s="98"/>
      <c r="I77" s="98"/>
      <c r="J77" s="20"/>
      <c r="K77" s="20"/>
      <c r="L77" s="21"/>
    </row>
    <row r="78" customFormat="false" ht="15.75" hidden="true" customHeight="false" outlineLevel="0" collapsed="false">
      <c r="B78" s="18"/>
      <c r="C78" s="20"/>
      <c r="D78" s="23" t="s">
        <v>65</v>
      </c>
      <c r="E78" s="23"/>
      <c r="F78" s="99" t="str">
        <f aca="false">IF(LEN(E14)&gt;0,E14,"")</f>
        <v/>
      </c>
      <c r="G78" s="99"/>
      <c r="H78" s="99"/>
      <c r="I78" s="99"/>
      <c r="J78" s="20"/>
      <c r="K78" s="20"/>
      <c r="L78" s="21"/>
    </row>
    <row r="79" customFormat="false" ht="15.75" hidden="true" customHeight="false" outlineLevel="0" collapsed="false">
      <c r="B79" s="18"/>
      <c r="D79" s="23" t="s">
        <v>66</v>
      </c>
      <c r="E79" s="23"/>
      <c r="F79" s="100"/>
      <c r="G79" s="100"/>
      <c r="H79" s="100"/>
      <c r="I79" s="100"/>
      <c r="K79" s="20"/>
      <c r="L79" s="21"/>
    </row>
    <row r="80" customFormat="false" ht="15.75" hidden="true" customHeight="false" outlineLevel="0" collapsed="false">
      <c r="B80" s="18"/>
      <c r="D80" s="23" t="s">
        <v>28</v>
      </c>
      <c r="E80" s="23"/>
      <c r="F80" s="100"/>
      <c r="G80" s="100"/>
      <c r="H80" s="100"/>
      <c r="I80" s="100"/>
      <c r="K80" s="20"/>
      <c r="L80" s="21"/>
    </row>
    <row r="81" customFormat="false" ht="15" hidden="true" customHeight="false" outlineLevel="0" collapsed="false">
      <c r="B81" s="18"/>
      <c r="K81" s="20"/>
      <c r="L81" s="21"/>
    </row>
    <row r="82" customFormat="false" ht="15" hidden="false" customHeight="false" outlineLevel="0" collapsed="false">
      <c r="B82" s="18"/>
      <c r="K82" s="11"/>
      <c r="L82" s="21"/>
    </row>
    <row r="83" customFormat="false" ht="39" hidden="true" customHeight="true" outlineLevel="0" collapsed="false">
      <c r="B83" s="18"/>
      <c r="K83" s="11"/>
      <c r="L83" s="21"/>
    </row>
    <row r="84" customFormat="false" ht="15" hidden="true" customHeight="true" outlineLevel="0" collapsed="false">
      <c r="B84" s="18"/>
      <c r="K84" s="11"/>
      <c r="L84" s="21"/>
    </row>
    <row r="85" customFormat="false" ht="15" hidden="true" customHeight="true" outlineLevel="0" collapsed="false">
      <c r="B85" s="18"/>
      <c r="K85" s="11"/>
      <c r="L85" s="21"/>
    </row>
    <row r="86" customFormat="false" ht="15" hidden="true" customHeight="false" outlineLevel="0" collapsed="false">
      <c r="B86" s="18"/>
      <c r="K86" s="11"/>
      <c r="L86" s="21"/>
    </row>
    <row r="87" customFormat="false" ht="15" hidden="true" customHeight="false" outlineLevel="0" collapsed="false">
      <c r="B87" s="18"/>
      <c r="K87" s="11"/>
      <c r="L87" s="21"/>
    </row>
    <row r="88" customFormat="false" ht="15" hidden="true" customHeight="false" outlineLevel="0" collapsed="false">
      <c r="B88" s="18"/>
      <c r="K88" s="11"/>
      <c r="L88" s="21"/>
    </row>
    <row r="89" customFormat="false" ht="15" hidden="true" customHeight="false" outlineLevel="0" collapsed="false">
      <c r="B89" s="18"/>
      <c r="K89" s="11"/>
      <c r="L89" s="21"/>
    </row>
    <row r="90" customFormat="false" ht="15" hidden="true" customHeight="false" outlineLevel="0" collapsed="false">
      <c r="B90" s="18"/>
      <c r="K90" s="11"/>
      <c r="L90" s="21"/>
    </row>
    <row r="91" customFormat="false" ht="15" hidden="true" customHeight="false" outlineLevel="0" collapsed="false">
      <c r="B91" s="18"/>
      <c r="K91" s="11"/>
      <c r="L91" s="21"/>
    </row>
    <row r="92" customFormat="false" ht="15" hidden="true" customHeight="false" outlineLevel="0" collapsed="false">
      <c r="B92" s="18"/>
      <c r="K92" s="11"/>
      <c r="L92" s="21"/>
    </row>
    <row r="93" customFormat="false" ht="15" hidden="true" customHeight="false" outlineLevel="0" collapsed="false">
      <c r="B93" s="18"/>
      <c r="K93" s="11"/>
      <c r="L93" s="21"/>
    </row>
    <row r="94" customFormat="false" ht="15" hidden="true" customHeight="false" outlineLevel="0" collapsed="false">
      <c r="B94" s="18"/>
      <c r="K94" s="11"/>
      <c r="L94" s="21"/>
    </row>
    <row r="95" customFormat="false" ht="15" hidden="true" customHeight="false" outlineLevel="0" collapsed="false">
      <c r="B95" s="18"/>
      <c r="K95" s="11"/>
      <c r="L95" s="21"/>
    </row>
    <row r="96" customFormat="false" ht="15" hidden="true" customHeight="false" outlineLevel="0" collapsed="false">
      <c r="B96" s="18"/>
      <c r="K96" s="11"/>
      <c r="L96" s="21"/>
    </row>
    <row r="97" customFormat="false" ht="15" hidden="true" customHeight="false" outlineLevel="0" collapsed="false">
      <c r="B97" s="18"/>
      <c r="K97" s="11"/>
      <c r="L97" s="21"/>
    </row>
    <row r="98" customFormat="false" ht="15" hidden="true" customHeight="false" outlineLevel="0" collapsed="false">
      <c r="B98" s="18"/>
      <c r="K98" s="11"/>
      <c r="L98" s="21"/>
    </row>
    <row r="99" customFormat="false" ht="15" hidden="true" customHeight="false" outlineLevel="0" collapsed="false">
      <c r="B99" s="18"/>
      <c r="K99" s="11"/>
      <c r="L99" s="21"/>
    </row>
    <row r="100" customFormat="false" ht="15" hidden="true" customHeight="false" outlineLevel="0" collapsed="false">
      <c r="B100" s="18"/>
      <c r="K100" s="11"/>
      <c r="L100" s="21"/>
    </row>
    <row r="101" customFormat="false" ht="15" hidden="true" customHeight="false" outlineLevel="0" collapsed="false">
      <c r="B101" s="18"/>
      <c r="K101" s="11"/>
      <c r="L101" s="21"/>
    </row>
    <row r="102" customFormat="false" ht="15" hidden="true" customHeight="false" outlineLevel="0" collapsed="false">
      <c r="B102" s="18"/>
      <c r="K102" s="11"/>
      <c r="L102" s="21"/>
    </row>
    <row r="103" customFormat="false" ht="15" hidden="true" customHeight="false" outlineLevel="0" collapsed="false">
      <c r="B103" s="18"/>
      <c r="K103" s="11"/>
      <c r="L103" s="21"/>
    </row>
    <row r="104" customFormat="false" ht="15" hidden="true" customHeight="false" outlineLevel="0" collapsed="false">
      <c r="B104" s="18"/>
      <c r="K104" s="11"/>
      <c r="L104" s="21"/>
    </row>
    <row r="105" customFormat="false" ht="15" hidden="true" customHeight="false" outlineLevel="0" collapsed="false">
      <c r="B105" s="18"/>
      <c r="K105" s="11"/>
      <c r="L105" s="21"/>
    </row>
    <row r="106" customFormat="false" ht="15" hidden="true" customHeight="false" outlineLevel="0" collapsed="false">
      <c r="B106" s="18"/>
      <c r="K106" s="11"/>
      <c r="L106" s="21"/>
    </row>
    <row r="107" customFormat="false" ht="15" hidden="true" customHeight="false" outlineLevel="0" collapsed="false">
      <c r="B107" s="18"/>
      <c r="K107" s="11"/>
      <c r="L107" s="21"/>
    </row>
    <row r="108" customFormat="false" ht="15" hidden="true" customHeight="false" outlineLevel="0" collapsed="false">
      <c r="B108" s="18"/>
      <c r="K108" s="11"/>
      <c r="L108" s="21"/>
    </row>
    <row r="109" customFormat="false" ht="15" hidden="true" customHeight="false" outlineLevel="0" collapsed="false">
      <c r="B109" s="18"/>
      <c r="K109" s="11"/>
      <c r="L109" s="21"/>
    </row>
    <row r="110" customFormat="false" ht="15" hidden="true" customHeight="false" outlineLevel="0" collapsed="false">
      <c r="B110" s="18"/>
      <c r="K110" s="11"/>
      <c r="L110" s="21"/>
    </row>
    <row r="111" customFormat="false" ht="15" hidden="true" customHeight="false" outlineLevel="0" collapsed="false">
      <c r="B111" s="18"/>
      <c r="K111" s="11"/>
      <c r="L111" s="21"/>
    </row>
    <row r="112" customFormat="false" ht="15" hidden="true" customHeight="false" outlineLevel="0" collapsed="false">
      <c r="B112" s="18"/>
      <c r="K112" s="11"/>
      <c r="L112" s="21"/>
    </row>
    <row r="113" customFormat="false" ht="15" hidden="true" customHeight="false" outlineLevel="0" collapsed="false">
      <c r="B113" s="18"/>
      <c r="K113" s="11"/>
      <c r="L113" s="21"/>
    </row>
    <row r="114" customFormat="false" ht="15" hidden="true" customHeight="false" outlineLevel="0" collapsed="false">
      <c r="B114" s="18"/>
      <c r="K114" s="11"/>
      <c r="L114" s="21"/>
    </row>
    <row r="115" customFormat="false" ht="15" hidden="true" customHeight="false" outlineLevel="0" collapsed="false">
      <c r="B115" s="18"/>
      <c r="K115" s="11"/>
      <c r="L115" s="21"/>
    </row>
    <row r="116" customFormat="false" ht="15" hidden="true" customHeight="false" outlineLevel="0" collapsed="false">
      <c r="B116" s="18"/>
      <c r="K116" s="11"/>
      <c r="L116" s="21"/>
    </row>
    <row r="117" customFormat="false" ht="15" hidden="true" customHeight="false" outlineLevel="0" collapsed="false">
      <c r="B117" s="18"/>
      <c r="K117" s="11"/>
      <c r="L117" s="21"/>
    </row>
    <row r="118" customFormat="false" ht="15" hidden="true" customHeight="false" outlineLevel="0" collapsed="false">
      <c r="B118" s="18"/>
      <c r="K118" s="11"/>
      <c r="L118" s="21"/>
    </row>
    <row r="119" customFormat="false" ht="15" hidden="true" customHeight="false" outlineLevel="0" collapsed="false">
      <c r="B119" s="18"/>
      <c r="K119" s="11"/>
      <c r="L119" s="21"/>
    </row>
    <row r="120" customFormat="false" ht="15" hidden="true" customHeight="false" outlineLevel="0" collapsed="false">
      <c r="B120" s="18"/>
      <c r="K120" s="11"/>
      <c r="L120" s="21"/>
    </row>
    <row r="121" customFormat="false" ht="15" hidden="true" customHeight="false" outlineLevel="0" collapsed="false">
      <c r="B121" s="18"/>
      <c r="K121" s="11"/>
      <c r="L121" s="21"/>
    </row>
    <row r="122" customFormat="false" ht="15" hidden="true" customHeight="false" outlineLevel="0" collapsed="false">
      <c r="B122" s="18"/>
      <c r="K122" s="11"/>
      <c r="L122" s="21"/>
    </row>
    <row r="123" customFormat="false" ht="15" hidden="true" customHeight="false" outlineLevel="0" collapsed="false">
      <c r="B123" s="18"/>
      <c r="K123" s="11"/>
      <c r="L123" s="21"/>
    </row>
    <row r="124" customFormat="false" ht="15" hidden="true" customHeight="false" outlineLevel="0" collapsed="false">
      <c r="B124" s="18"/>
      <c r="K124" s="11"/>
      <c r="L124" s="21"/>
    </row>
    <row r="125" customFormat="false" ht="15" hidden="true" customHeight="false" outlineLevel="0" collapsed="false">
      <c r="B125" s="18"/>
      <c r="K125" s="11"/>
      <c r="L125" s="21"/>
    </row>
    <row r="126" customFormat="false" ht="15" hidden="true" customHeight="false" outlineLevel="0" collapsed="false">
      <c r="B126" s="18"/>
      <c r="K126" s="11"/>
      <c r="L126" s="21"/>
    </row>
    <row r="127" customFormat="false" ht="15" hidden="true" customHeight="false" outlineLevel="0" collapsed="false">
      <c r="B127" s="18"/>
      <c r="K127" s="11"/>
      <c r="L127" s="21"/>
    </row>
    <row r="128" customFormat="false" ht="15" hidden="true" customHeight="false" outlineLevel="0" collapsed="false">
      <c r="B128" s="18"/>
      <c r="K128" s="11"/>
      <c r="L128" s="21"/>
    </row>
    <row r="129" customFormat="false" ht="15" hidden="true" customHeight="false" outlineLevel="0" collapsed="false">
      <c r="B129" s="18"/>
      <c r="K129" s="11"/>
      <c r="L129" s="21"/>
    </row>
    <row r="130" customFormat="false" ht="15" hidden="true" customHeight="false" outlineLevel="0" collapsed="false">
      <c r="B130" s="18"/>
      <c r="K130" s="11"/>
      <c r="L130" s="21"/>
    </row>
    <row r="131" customFormat="false" ht="15" hidden="true" customHeight="false" outlineLevel="0" collapsed="false">
      <c r="B131" s="18"/>
      <c r="K131" s="11"/>
      <c r="L131" s="21"/>
    </row>
    <row r="132" customFormat="false" ht="15" hidden="true" customHeight="false" outlineLevel="0" collapsed="false">
      <c r="B132" s="18"/>
      <c r="K132" s="11"/>
      <c r="L132" s="21"/>
    </row>
    <row r="133" customFormat="false" ht="15" hidden="true" customHeight="false" outlineLevel="0" collapsed="false">
      <c r="B133" s="18"/>
      <c r="K133" s="11"/>
      <c r="L133" s="21"/>
    </row>
    <row r="134" customFormat="false" ht="15" hidden="true" customHeight="false" outlineLevel="0" collapsed="false">
      <c r="B134" s="18"/>
      <c r="K134" s="11"/>
      <c r="L134" s="21"/>
    </row>
    <row r="135" customFormat="false" ht="15" hidden="true" customHeight="false" outlineLevel="0" collapsed="false">
      <c r="B135" s="18"/>
      <c r="K135" s="11"/>
      <c r="L135" s="21"/>
    </row>
    <row r="136" customFormat="false" ht="15" hidden="true" customHeight="false" outlineLevel="0" collapsed="false">
      <c r="B136" s="18"/>
      <c r="K136" s="11"/>
      <c r="L136" s="21"/>
    </row>
    <row r="137" customFormat="false" ht="15" hidden="true" customHeight="false" outlineLevel="0" collapsed="false">
      <c r="B137" s="18"/>
      <c r="K137" s="11"/>
      <c r="L137" s="21"/>
    </row>
    <row r="138" customFormat="false" ht="15" hidden="true" customHeight="false" outlineLevel="0" collapsed="false">
      <c r="B138" s="18"/>
      <c r="K138" s="11"/>
      <c r="L138" s="21"/>
    </row>
    <row r="139" customFormat="false" ht="15" hidden="true" customHeight="false" outlineLevel="0" collapsed="false">
      <c r="B139" s="18"/>
      <c r="K139" s="11"/>
      <c r="L139" s="21"/>
    </row>
    <row r="140" customFormat="false" ht="15" hidden="true" customHeight="false" outlineLevel="0" collapsed="false">
      <c r="B140" s="18"/>
      <c r="K140" s="11"/>
      <c r="L140" s="21"/>
    </row>
    <row r="141" customFormat="false" ht="15" hidden="true" customHeight="false" outlineLevel="0" collapsed="false">
      <c r="B141" s="18"/>
      <c r="K141" s="11"/>
      <c r="L141" s="21"/>
    </row>
    <row r="142" customFormat="false" ht="15" hidden="true" customHeight="false" outlineLevel="0" collapsed="false">
      <c r="B142" s="18"/>
      <c r="K142" s="101" t="s">
        <v>67</v>
      </c>
      <c r="L142" s="21"/>
    </row>
    <row r="143" customFormat="false" ht="15" hidden="true" customHeight="true" outlineLevel="0" collapsed="false">
      <c r="B143" s="18"/>
      <c r="K143" s="102"/>
      <c r="L143" s="21"/>
    </row>
    <row r="144" customFormat="false" ht="15" hidden="true" customHeight="false" outlineLevel="0" collapsed="false">
      <c r="B144" s="18"/>
      <c r="K144" s="11"/>
      <c r="L144" s="21"/>
    </row>
    <row r="145" customFormat="false" ht="15" hidden="false" customHeight="false" outlineLevel="0" collapsed="false">
      <c r="B145" s="18"/>
      <c r="K145" s="11"/>
      <c r="L145" s="21"/>
    </row>
    <row r="146" customFormat="false" ht="15" hidden="true" customHeight="false" outlineLevel="0" collapsed="false">
      <c r="B146" s="18"/>
      <c r="K146" s="101" t="s">
        <v>67</v>
      </c>
      <c r="L146" s="21"/>
    </row>
    <row r="147" customFormat="false" ht="15" hidden="true" customHeight="true" outlineLevel="0" collapsed="false">
      <c r="B147" s="18"/>
      <c r="K147" s="102"/>
      <c r="L147" s="21"/>
    </row>
    <row r="148" customFormat="false" ht="24.75" hidden="true" customHeight="true" outlineLevel="0" collapsed="false">
      <c r="B148" s="18"/>
      <c r="K148" s="102"/>
      <c r="L148" s="21"/>
    </row>
    <row r="149" customFormat="false" ht="15" hidden="true" customHeight="true" outlineLevel="0" collapsed="false">
      <c r="B149" s="18"/>
      <c r="K149" s="102"/>
      <c r="L149" s="21"/>
    </row>
    <row r="150" customFormat="false" ht="15" hidden="true" customHeight="false" outlineLevel="0" collapsed="false">
      <c r="B150" s="18"/>
      <c r="K150" s="102"/>
      <c r="L150" s="21"/>
    </row>
    <row r="151" customFormat="false" ht="15" hidden="true" customHeight="false" outlineLevel="0" collapsed="false">
      <c r="B151" s="18"/>
      <c r="K151" s="102"/>
      <c r="L151" s="21"/>
    </row>
    <row r="152" customFormat="false" ht="15" hidden="true" customHeight="false" outlineLevel="0" collapsed="false">
      <c r="B152" s="18"/>
      <c r="K152" s="11"/>
      <c r="L152" s="21"/>
    </row>
    <row r="153" customFormat="false" ht="15" hidden="true" customHeight="false" outlineLevel="0" collapsed="false">
      <c r="B153" s="18"/>
      <c r="K153" s="11"/>
      <c r="L153" s="21"/>
    </row>
    <row r="154" customFormat="false" ht="15" hidden="true" customHeight="false" outlineLevel="0" collapsed="false">
      <c r="B154" s="18"/>
      <c r="K154" s="11"/>
      <c r="L154" s="21"/>
    </row>
    <row r="155" customFormat="false" ht="15" hidden="true" customHeight="false" outlineLevel="0" collapsed="false">
      <c r="B155" s="18"/>
      <c r="K155" s="11"/>
      <c r="L155" s="21"/>
    </row>
    <row r="156" customFormat="false" ht="15" hidden="true" customHeight="false" outlineLevel="0" collapsed="false">
      <c r="B156" s="18"/>
      <c r="K156" s="11"/>
      <c r="L156" s="21"/>
    </row>
    <row r="157" customFormat="false" ht="15" hidden="true" customHeight="false" outlineLevel="0" collapsed="false">
      <c r="B157" s="18"/>
      <c r="K157" s="11"/>
      <c r="L157" s="21"/>
    </row>
    <row r="158" customFormat="false" ht="15" hidden="true" customHeight="false" outlineLevel="0" collapsed="false">
      <c r="B158" s="18"/>
      <c r="K158" s="11"/>
      <c r="L158" s="21"/>
    </row>
    <row r="159" customFormat="false" ht="15" hidden="true" customHeight="false" outlineLevel="0" collapsed="false">
      <c r="B159" s="18"/>
      <c r="K159" s="11"/>
      <c r="L159" s="21"/>
    </row>
    <row r="160" customFormat="false" ht="15" hidden="true" customHeight="false" outlineLevel="0" collapsed="false">
      <c r="B160" s="18"/>
      <c r="K160" s="11"/>
      <c r="L160" s="21"/>
    </row>
    <row r="161" customFormat="false" ht="15" hidden="true" customHeight="false" outlineLevel="0" collapsed="false">
      <c r="B161" s="18"/>
      <c r="K161" s="11"/>
      <c r="L161" s="21"/>
    </row>
    <row r="162" customFormat="false" ht="15" hidden="true" customHeight="false" outlineLevel="0" collapsed="false">
      <c r="B162" s="18"/>
      <c r="K162" s="11"/>
      <c r="L162" s="21"/>
    </row>
    <row r="163" customFormat="false" ht="15" hidden="true" customHeight="false" outlineLevel="0" collapsed="false">
      <c r="B163" s="18"/>
      <c r="K163" s="11"/>
      <c r="L163" s="21"/>
    </row>
    <row r="164" customFormat="false" ht="15" hidden="true" customHeight="false" outlineLevel="0" collapsed="false">
      <c r="B164" s="18"/>
      <c r="K164" s="11"/>
      <c r="L164" s="21"/>
    </row>
    <row r="165" customFormat="false" ht="15" hidden="true" customHeight="false" outlineLevel="0" collapsed="false">
      <c r="B165" s="18"/>
      <c r="K165" s="11"/>
      <c r="L165" s="21"/>
    </row>
    <row r="166" customFormat="false" ht="15" hidden="true" customHeight="false" outlineLevel="0" collapsed="false">
      <c r="B166" s="18"/>
      <c r="K166" s="11"/>
      <c r="L166" s="21"/>
    </row>
    <row r="167" customFormat="false" ht="15" hidden="true" customHeight="false" outlineLevel="0" collapsed="false">
      <c r="B167" s="18"/>
      <c r="K167" s="11"/>
      <c r="L167" s="21"/>
    </row>
    <row r="168" customFormat="false" ht="15" hidden="true" customHeight="false" outlineLevel="0" collapsed="false">
      <c r="B168" s="18"/>
      <c r="K168" s="11"/>
      <c r="L168" s="21"/>
    </row>
    <row r="169" customFormat="false" ht="15" hidden="true" customHeight="false" outlineLevel="0" collapsed="false">
      <c r="B169" s="18"/>
      <c r="K169" s="11"/>
      <c r="L169" s="21"/>
    </row>
    <row r="170" customFormat="false" ht="15" hidden="true" customHeight="false" outlineLevel="0" collapsed="false">
      <c r="B170" s="18"/>
      <c r="K170" s="11"/>
      <c r="L170" s="21"/>
    </row>
    <row r="171" customFormat="false" ht="15" hidden="true" customHeight="false" outlineLevel="0" collapsed="false">
      <c r="B171" s="18"/>
      <c r="K171" s="11"/>
      <c r="L171" s="21"/>
    </row>
    <row r="172" customFormat="false" ht="15" hidden="true" customHeight="false" outlineLevel="0" collapsed="false">
      <c r="B172" s="18"/>
      <c r="K172" s="11"/>
      <c r="L172" s="21"/>
    </row>
    <row r="173" customFormat="false" ht="15" hidden="true" customHeight="false" outlineLevel="0" collapsed="false">
      <c r="B173" s="18"/>
      <c r="K173" s="11"/>
      <c r="L173" s="21"/>
    </row>
    <row r="174" customFormat="false" ht="15" hidden="true" customHeight="false" outlineLevel="0" collapsed="false">
      <c r="B174" s="18"/>
      <c r="K174" s="11"/>
      <c r="L174" s="21"/>
    </row>
    <row r="175" customFormat="false" ht="15" hidden="true" customHeight="false" outlineLevel="0" collapsed="false">
      <c r="B175" s="18"/>
      <c r="K175" s="11"/>
      <c r="L175" s="21"/>
    </row>
    <row r="176" customFormat="false" ht="15" hidden="true" customHeight="false" outlineLevel="0" collapsed="false">
      <c r="B176" s="18"/>
      <c r="K176" s="11"/>
      <c r="L176" s="21"/>
    </row>
    <row r="177" customFormat="false" ht="15" hidden="true" customHeight="false" outlineLevel="0" collapsed="false">
      <c r="B177" s="18"/>
      <c r="K177" s="11"/>
      <c r="L177" s="21"/>
    </row>
    <row r="178" customFormat="false" ht="15" hidden="true" customHeight="false" outlineLevel="0" collapsed="false">
      <c r="B178" s="18"/>
      <c r="K178" s="11"/>
      <c r="L178" s="21"/>
    </row>
    <row r="179" customFormat="false" ht="15" hidden="true" customHeight="false" outlineLevel="0" collapsed="false">
      <c r="B179" s="18"/>
      <c r="K179" s="11"/>
      <c r="L179" s="21"/>
    </row>
    <row r="180" customFormat="false" ht="15" hidden="true" customHeight="false" outlineLevel="0" collapsed="false">
      <c r="B180" s="18"/>
      <c r="K180" s="11"/>
      <c r="L180" s="21"/>
    </row>
    <row r="181" customFormat="false" ht="15" hidden="true" customHeight="false" outlineLevel="0" collapsed="false">
      <c r="B181" s="18"/>
      <c r="K181" s="11"/>
      <c r="L181" s="21"/>
    </row>
    <row r="182" customFormat="false" ht="15" hidden="true" customHeight="false" outlineLevel="0" collapsed="false">
      <c r="B182" s="18"/>
      <c r="K182" s="11"/>
      <c r="L182" s="21"/>
    </row>
    <row r="183" customFormat="false" ht="15" hidden="true" customHeight="false" outlineLevel="0" collapsed="false">
      <c r="B183" s="18"/>
      <c r="K183" s="11"/>
      <c r="L183" s="21"/>
    </row>
    <row r="184" customFormat="false" ht="15" hidden="true" customHeight="false" outlineLevel="0" collapsed="false">
      <c r="B184" s="18"/>
      <c r="K184" s="11"/>
      <c r="L184" s="21"/>
    </row>
    <row r="185" customFormat="false" ht="15" hidden="true" customHeight="false" outlineLevel="0" collapsed="false">
      <c r="B185" s="18"/>
      <c r="K185" s="11"/>
      <c r="L185" s="21"/>
    </row>
    <row r="186" customFormat="false" ht="15" hidden="true" customHeight="false" outlineLevel="0" collapsed="false">
      <c r="B186" s="18"/>
      <c r="K186" s="11"/>
      <c r="L186" s="21"/>
    </row>
    <row r="187" customFormat="false" ht="15" hidden="true" customHeight="false" outlineLevel="0" collapsed="false">
      <c r="B187" s="18"/>
      <c r="K187" s="11"/>
      <c r="L187" s="21"/>
    </row>
    <row r="188" customFormat="false" ht="15" hidden="true" customHeight="false" outlineLevel="0" collapsed="false">
      <c r="B188" s="18"/>
      <c r="K188" s="11"/>
      <c r="L188" s="21"/>
    </row>
    <row r="189" customFormat="false" ht="15" hidden="true" customHeight="false" outlineLevel="0" collapsed="false">
      <c r="B189" s="18"/>
      <c r="K189" s="11"/>
      <c r="L189" s="21"/>
    </row>
    <row r="190" customFormat="false" ht="15" hidden="true" customHeight="false" outlineLevel="0" collapsed="false">
      <c r="B190" s="18"/>
      <c r="K190" s="11"/>
      <c r="L190" s="21"/>
    </row>
    <row r="191" customFormat="false" ht="15" hidden="true" customHeight="false" outlineLevel="0" collapsed="false">
      <c r="B191" s="18"/>
      <c r="K191" s="11"/>
      <c r="L191" s="21"/>
    </row>
    <row r="192" customFormat="false" ht="15" hidden="true" customHeight="false" outlineLevel="0" collapsed="false">
      <c r="B192" s="18"/>
      <c r="K192" s="11"/>
      <c r="L192" s="21"/>
    </row>
    <row r="193" customFormat="false" ht="15" hidden="true" customHeight="false" outlineLevel="0" collapsed="false">
      <c r="B193" s="18"/>
      <c r="K193" s="11"/>
      <c r="L193" s="21"/>
    </row>
    <row r="194" customFormat="false" ht="15" hidden="true" customHeight="false" outlineLevel="0" collapsed="false">
      <c r="B194" s="18"/>
      <c r="K194" s="11"/>
      <c r="L194" s="21"/>
    </row>
    <row r="195" customFormat="false" ht="15" hidden="true" customHeight="false" outlineLevel="0" collapsed="false">
      <c r="B195" s="18"/>
      <c r="K195" s="11"/>
      <c r="L195" s="21"/>
    </row>
    <row r="196" customFormat="false" ht="15" hidden="true" customHeight="false" outlineLevel="0" collapsed="false">
      <c r="B196" s="18"/>
      <c r="K196" s="11"/>
      <c r="L196" s="21"/>
    </row>
    <row r="197" customFormat="false" ht="15" hidden="true" customHeight="false" outlineLevel="0" collapsed="false">
      <c r="B197" s="18"/>
      <c r="K197" s="11"/>
      <c r="L197" s="21"/>
    </row>
    <row r="198" customFormat="false" ht="15" hidden="true" customHeight="false" outlineLevel="0" collapsed="false">
      <c r="B198" s="18"/>
      <c r="K198" s="11"/>
      <c r="L198" s="21"/>
    </row>
    <row r="199" customFormat="false" ht="15" hidden="true" customHeight="false" outlineLevel="0" collapsed="false">
      <c r="B199" s="18"/>
      <c r="K199" s="11"/>
      <c r="L199" s="21"/>
    </row>
    <row r="200" customFormat="false" ht="15" hidden="true" customHeight="false" outlineLevel="0" collapsed="false">
      <c r="B200" s="18"/>
      <c r="K200" s="11"/>
      <c r="L200" s="21"/>
    </row>
    <row r="201" customFormat="false" ht="15" hidden="true" customHeight="false" outlineLevel="0" collapsed="false">
      <c r="B201" s="18"/>
      <c r="K201" s="11"/>
      <c r="L201" s="21"/>
    </row>
    <row r="202" customFormat="false" ht="15" hidden="true" customHeight="false" outlineLevel="0" collapsed="false">
      <c r="B202" s="18"/>
      <c r="K202" s="11"/>
      <c r="L202" s="21"/>
    </row>
    <row r="203" customFormat="false" ht="15" hidden="true" customHeight="false" outlineLevel="0" collapsed="false">
      <c r="B203" s="18"/>
      <c r="K203" s="11"/>
      <c r="L203" s="21"/>
    </row>
    <row r="204" customFormat="false" ht="15" hidden="true" customHeight="false" outlineLevel="0" collapsed="false">
      <c r="B204" s="18"/>
      <c r="K204" s="11"/>
      <c r="L204" s="21"/>
    </row>
    <row r="205" customFormat="false" ht="15" hidden="true" customHeight="false" outlineLevel="0" collapsed="false">
      <c r="B205" s="18"/>
      <c r="K205" s="11"/>
      <c r="L205" s="21"/>
    </row>
    <row r="206" customFormat="false" ht="15" hidden="true" customHeight="false" outlineLevel="0" collapsed="false">
      <c r="B206" s="18"/>
      <c r="K206" s="11"/>
      <c r="L206" s="21"/>
    </row>
    <row r="207" customFormat="false" ht="15" hidden="true" customHeight="false" outlineLevel="0" collapsed="false">
      <c r="B207" s="18"/>
      <c r="K207" s="11"/>
      <c r="L207" s="21"/>
    </row>
    <row r="208" customFormat="false" ht="15.75" hidden="false" customHeight="false" outlineLevel="0" collapsed="false">
      <c r="B208" s="76"/>
      <c r="C208" s="77" t="s">
        <v>55</v>
      </c>
      <c r="D208" s="103"/>
      <c r="E208" s="103"/>
      <c r="F208" s="103"/>
      <c r="G208" s="103"/>
      <c r="H208" s="103"/>
      <c r="I208" s="103"/>
      <c r="J208" s="103"/>
      <c r="K208" s="103"/>
      <c r="L208" s="80"/>
    </row>
  </sheetData>
  <sheetProtection sheet="true" scenarios="true" selectLockedCells="true"/>
  <mergeCells count="64">
    <mergeCell ref="K2:L3"/>
    <mergeCell ref="C3:J3"/>
    <mergeCell ref="C7:D7"/>
    <mergeCell ref="E7:F7"/>
    <mergeCell ref="I7:J7"/>
    <mergeCell ref="C8:D8"/>
    <mergeCell ref="E8:F8"/>
    <mergeCell ref="I8:J8"/>
    <mergeCell ref="C9:D9"/>
    <mergeCell ref="E9:F9"/>
    <mergeCell ref="C10:D11"/>
    <mergeCell ref="E10:F11"/>
    <mergeCell ref="C14:D14"/>
    <mergeCell ref="E14:F14"/>
    <mergeCell ref="I14:K14"/>
    <mergeCell ref="C17:K17"/>
    <mergeCell ref="C19:G19"/>
    <mergeCell ref="H21:I21"/>
    <mergeCell ref="D22:G22"/>
    <mergeCell ref="H22:I22"/>
    <mergeCell ref="C24:G24"/>
    <mergeCell ref="H26:I26"/>
    <mergeCell ref="D27:G27"/>
    <mergeCell ref="H27:I27"/>
    <mergeCell ref="H30:I30"/>
    <mergeCell ref="D31:G31"/>
    <mergeCell ref="H31:I31"/>
    <mergeCell ref="D32:G32"/>
    <mergeCell ref="H32:I32"/>
    <mergeCell ref="D33:G33"/>
    <mergeCell ref="H33:I33"/>
    <mergeCell ref="C35:D35"/>
    <mergeCell ref="D36:K38"/>
    <mergeCell ref="I46:K46"/>
    <mergeCell ref="D49:E49"/>
    <mergeCell ref="D50:E50"/>
    <mergeCell ref="D51:E51"/>
    <mergeCell ref="D52:E52"/>
    <mergeCell ref="D53:E53"/>
    <mergeCell ref="D54:E54"/>
    <mergeCell ref="D55:E55"/>
    <mergeCell ref="D58:K58"/>
    <mergeCell ref="D59:K59"/>
    <mergeCell ref="D60:K60"/>
    <mergeCell ref="D61:K61"/>
    <mergeCell ref="C67:K67"/>
    <mergeCell ref="C68:I68"/>
    <mergeCell ref="C70:G70"/>
    <mergeCell ref="E72:G72"/>
    <mergeCell ref="H72:I72"/>
    <mergeCell ref="E73:G73"/>
    <mergeCell ref="H73:I73"/>
    <mergeCell ref="E74:G74"/>
    <mergeCell ref="H74:I74"/>
    <mergeCell ref="E75:G75"/>
    <mergeCell ref="H75:I75"/>
    <mergeCell ref="D77:E77"/>
    <mergeCell ref="F77:I77"/>
    <mergeCell ref="D78:E78"/>
    <mergeCell ref="F78:I78"/>
    <mergeCell ref="D79:E79"/>
    <mergeCell ref="F79:I79"/>
    <mergeCell ref="D80:E80"/>
    <mergeCell ref="F80:I80"/>
  </mergeCells>
  <dataValidations count="5">
    <dataValidation allowBlank="true" error="The entered date is in the future or is not in the dd/mm/yyyy format" errorTitle="Invalid Date" operator="lessThanOrEqual" showDropDown="false" showErrorMessage="true" showInputMessage="true" sqref="E84:E89 E143 E147:E151" type="none">
      <formula1>0</formula1>
      <formula2>0</formula2>
    </dataValidation>
    <dataValidation allowBlank="true" operator="between" showDropDown="false" showErrorMessage="true" showInputMessage="true" sqref="E14:F16" type="list">
      <formula1>Banks</formula1>
      <formula2>0</formula2>
    </dataValidation>
    <dataValidation allowBlank="true" operator="between" showDropDown="false" showErrorMessage="true" showInputMessage="true" sqref="H22 G23 H27:H29 H73:H75 F80:I80 F84:F89 F143 F147:F151" type="list">
      <formula1>CURRENCY</formula1>
      <formula2>0</formula2>
    </dataValidation>
    <dataValidation allowBlank="true" operator="between" showDropDown="false" showErrorMessage="true" showInputMessage="true" sqref="E73:E75" type="list">
      <formula1>Mode_Of_Recovery</formula1>
      <formula2>0</formula2>
    </dataValidation>
    <dataValidation allowBlank="true" operator="between" showDropDown="false" showErrorMessage="true" showInputMessage="true" sqref="I143 I147:I151" type="list">
      <formula1>Payment_Type</formula1>
      <formula2>0</formula2>
    </dataValidation>
  </dataValidations>
  <printOptions headings="false" gridLines="false" gridLinesSet="true" horizontalCentered="false" verticalCentered="false"/>
  <pageMargins left="0.7" right="0.7" top="0.75" bottom="0.75" header="0.511805555555555" footer="0.3"/>
  <pageSetup paperSize="9" scale="100" firstPageNumber="0" fitToWidth="1" fitToHeight="3" pageOrder="downThenOver" orientation="portrait" usePrinterDefaults="false" blackAndWhite="false" draft="false" cellComments="none" useFirstPageNumber="false" horizontalDpi="300" verticalDpi="300" copies="1"/>
  <headerFooter differentFirst="false" differentOddEven="false">
    <oddHeader/>
    <oddFooter>&amp;LRESTRICTED</oddFooter>
  </headerFooter>
  <drawing r:id="rId1"/>
</worksheet>
</file>

<file path=xl/worksheets/sheet3.xml><?xml version="1.0" encoding="utf-8"?>
<worksheet xmlns="http://schemas.openxmlformats.org/spreadsheetml/2006/main" xmlns:r="http://schemas.openxmlformats.org/officeDocument/2006/relationships">
  <sheetPr filterMode="false">
    <pageSetUpPr fitToPage="false"/>
  </sheetPr>
  <dimension ref="B4:G61"/>
  <sheetViews>
    <sheetView windowProtection="false" showFormulas="false" showGridLines="false" showRowColHeaders="false" showZeros="true" rightToLeft="false" tabSelected="false" showOutlineSymbols="true" defaultGridColor="true" view="normal" topLeftCell="A1" colorId="64" zoomScale="100" zoomScaleNormal="100" zoomScalePageLayoutView="100" workbookViewId="0">
      <selection pane="topLeft" activeCell="B6" activeCellId="0" sqref="B6"/>
    </sheetView>
  </sheetViews>
  <sheetFormatPr defaultRowHeight="15"/>
  <cols>
    <col collapsed="false" hidden="false" max="1" min="1" style="0" width="4.06882591093117"/>
    <col collapsed="false" hidden="false" max="2" min="2" style="0" width="11.6761133603239"/>
    <col collapsed="false" hidden="false" max="3" min="3" style="0" width="12.1052631578947"/>
    <col collapsed="false" hidden="false" max="4" min="4" style="0" width="17.8906882591093"/>
    <col collapsed="false" hidden="false" max="5" min="5" style="0" width="15.5303643724696"/>
    <col collapsed="false" hidden="false" max="1025" min="6" style="0" width="8.57085020242915"/>
  </cols>
  <sheetData>
    <row r="4" customFormat="false" ht="18.75" hidden="false" customHeight="false" outlineLevel="0" collapsed="false">
      <c r="B4" s="104" t="s">
        <v>68</v>
      </c>
      <c r="C4" s="104"/>
      <c r="D4" s="104"/>
      <c r="E4" s="104"/>
      <c r="F4" s="104"/>
      <c r="G4" s="104"/>
    </row>
    <row r="5" customFormat="false" ht="24.75" hidden="false" customHeight="true" outlineLevel="0" collapsed="false">
      <c r="B5" s="105" t="s">
        <v>69</v>
      </c>
      <c r="C5" s="105"/>
      <c r="D5" s="106" t="s">
        <v>70</v>
      </c>
      <c r="E5" s="105" t="s">
        <v>28</v>
      </c>
      <c r="F5" s="105"/>
      <c r="G5" s="105" t="s">
        <v>29</v>
      </c>
    </row>
    <row r="6" customFormat="false" ht="15" hidden="false" customHeight="true" outlineLevel="0" collapsed="false">
      <c r="B6" s="107"/>
      <c r="C6" s="107"/>
      <c r="D6" s="108"/>
      <c r="E6" s="109"/>
      <c r="F6" s="109"/>
      <c r="G6" s="102" t="n">
        <v>0</v>
      </c>
    </row>
    <row r="7" customFormat="false" ht="15" hidden="false" customHeight="false" outlineLevel="0" collapsed="false">
      <c r="B7" s="107"/>
      <c r="C7" s="107"/>
      <c r="D7" s="108"/>
      <c r="E7" s="109"/>
      <c r="F7" s="109"/>
      <c r="G7" s="102"/>
    </row>
    <row r="8" customFormat="false" ht="15" hidden="false" customHeight="true" outlineLevel="0" collapsed="false">
      <c r="B8" s="102"/>
      <c r="C8" s="102"/>
      <c r="D8" s="108"/>
      <c r="E8" s="102"/>
      <c r="F8" s="102"/>
      <c r="G8" s="102"/>
    </row>
    <row r="9" customFormat="false" ht="15" hidden="false" customHeight="true" outlineLevel="0" collapsed="false">
      <c r="B9" s="102"/>
      <c r="C9" s="102"/>
      <c r="D9" s="108"/>
      <c r="E9" s="102"/>
      <c r="F9" s="102"/>
      <c r="G9" s="102"/>
    </row>
    <row r="10" customFormat="false" ht="15" hidden="false" customHeight="true" outlineLevel="0" collapsed="false">
      <c r="B10" s="102"/>
      <c r="C10" s="102"/>
      <c r="D10" s="108"/>
      <c r="E10" s="102"/>
      <c r="F10" s="102"/>
      <c r="G10" s="102"/>
    </row>
    <row r="11" customFormat="false" ht="15" hidden="false" customHeight="true" outlineLevel="0" collapsed="false">
      <c r="B11" s="102"/>
      <c r="C11" s="102"/>
      <c r="D11" s="108"/>
      <c r="E11" s="102"/>
      <c r="F11" s="102"/>
      <c r="G11" s="102"/>
    </row>
    <row r="12" customFormat="false" ht="15" hidden="false" customHeight="true" outlineLevel="0" collapsed="false">
      <c r="B12" s="102"/>
      <c r="C12" s="102"/>
      <c r="D12" s="108"/>
      <c r="E12" s="102"/>
      <c r="F12" s="102"/>
      <c r="G12" s="102"/>
    </row>
    <row r="13" customFormat="false" ht="15" hidden="false" customHeight="true" outlineLevel="0" collapsed="false">
      <c r="B13" s="102"/>
      <c r="C13" s="102"/>
      <c r="D13" s="108"/>
      <c r="E13" s="102"/>
      <c r="F13" s="102"/>
      <c r="G13" s="102"/>
    </row>
    <row r="14" customFormat="false" ht="15" hidden="false" customHeight="true" outlineLevel="0" collapsed="false">
      <c r="B14" s="102"/>
      <c r="C14" s="102"/>
      <c r="D14" s="108"/>
      <c r="E14" s="102"/>
      <c r="F14" s="102"/>
      <c r="G14" s="102"/>
    </row>
    <row r="15" customFormat="false" ht="15" hidden="false" customHeight="true" outlineLevel="0" collapsed="false">
      <c r="B15" s="102"/>
      <c r="C15" s="102"/>
      <c r="D15" s="108"/>
      <c r="E15" s="102"/>
      <c r="F15" s="102"/>
      <c r="G15" s="102"/>
    </row>
    <row r="16" customFormat="false" ht="15" hidden="false" customHeight="true" outlineLevel="0" collapsed="false">
      <c r="B16" s="102"/>
      <c r="C16" s="102"/>
      <c r="D16" s="108"/>
      <c r="E16" s="102"/>
      <c r="F16" s="102"/>
      <c r="G16" s="102"/>
    </row>
    <row r="17" customFormat="false" ht="15" hidden="false" customHeight="true" outlineLevel="0" collapsed="false">
      <c r="B17" s="102"/>
      <c r="C17" s="102"/>
      <c r="D17" s="108"/>
      <c r="E17" s="102"/>
      <c r="F17" s="102"/>
      <c r="G17" s="102"/>
    </row>
    <row r="18" customFormat="false" ht="15" hidden="false" customHeight="true" outlineLevel="0" collapsed="false">
      <c r="B18" s="102"/>
      <c r="C18" s="102"/>
      <c r="D18" s="108"/>
      <c r="E18" s="102"/>
      <c r="F18" s="102"/>
      <c r="G18" s="102"/>
    </row>
    <row r="19" customFormat="false" ht="15" hidden="false" customHeight="true" outlineLevel="0" collapsed="false">
      <c r="B19" s="102"/>
      <c r="C19" s="102"/>
      <c r="D19" s="108"/>
      <c r="E19" s="102"/>
      <c r="F19" s="102"/>
      <c r="G19" s="102"/>
    </row>
    <row r="20" customFormat="false" ht="15" hidden="false" customHeight="true" outlineLevel="0" collapsed="false">
      <c r="B20" s="102"/>
      <c r="C20" s="102"/>
      <c r="D20" s="108"/>
      <c r="E20" s="102"/>
      <c r="F20" s="102"/>
      <c r="G20" s="102"/>
    </row>
    <row r="21" customFormat="false" ht="15" hidden="false" customHeight="true" outlineLevel="0" collapsed="false">
      <c r="B21" s="102"/>
      <c r="C21" s="102"/>
      <c r="D21" s="108"/>
      <c r="E21" s="102"/>
      <c r="F21" s="102"/>
      <c r="G21" s="102"/>
    </row>
    <row r="22" customFormat="false" ht="15" hidden="false" customHeight="true" outlineLevel="0" collapsed="false">
      <c r="B22" s="102"/>
      <c r="C22" s="102"/>
      <c r="D22" s="108"/>
      <c r="E22" s="102"/>
      <c r="F22" s="102"/>
      <c r="G22" s="102"/>
    </row>
    <row r="23" customFormat="false" ht="15" hidden="false" customHeight="true" outlineLevel="0" collapsed="false">
      <c r="B23" s="102"/>
      <c r="C23" s="102"/>
      <c r="D23" s="108"/>
      <c r="E23" s="102"/>
      <c r="F23" s="102"/>
      <c r="G23" s="102"/>
    </row>
    <row r="24" customFormat="false" ht="15" hidden="false" customHeight="true" outlineLevel="0" collapsed="false">
      <c r="B24" s="102"/>
      <c r="C24" s="102"/>
      <c r="D24" s="108"/>
      <c r="E24" s="102"/>
      <c r="F24" s="102"/>
      <c r="G24" s="102"/>
    </row>
    <row r="25" customFormat="false" ht="15" hidden="false" customHeight="true" outlineLevel="0" collapsed="false">
      <c r="B25" s="102"/>
      <c r="C25" s="102"/>
      <c r="D25" s="108"/>
      <c r="E25" s="102"/>
      <c r="F25" s="102"/>
      <c r="G25" s="102"/>
    </row>
    <row r="26" customFormat="false" ht="15" hidden="false" customHeight="true" outlineLevel="0" collapsed="false">
      <c r="B26" s="102"/>
      <c r="C26" s="102"/>
      <c r="D26" s="108"/>
      <c r="E26" s="102"/>
      <c r="F26" s="102"/>
      <c r="G26" s="102"/>
    </row>
    <row r="27" customFormat="false" ht="15" hidden="false" customHeight="true" outlineLevel="0" collapsed="false">
      <c r="B27" s="102"/>
      <c r="C27" s="102"/>
      <c r="D27" s="108"/>
      <c r="E27" s="102"/>
      <c r="F27" s="102"/>
      <c r="G27" s="102"/>
    </row>
    <row r="28" customFormat="false" ht="15" hidden="false" customHeight="true" outlineLevel="0" collapsed="false">
      <c r="B28" s="102"/>
      <c r="C28" s="102"/>
      <c r="D28" s="108"/>
      <c r="E28" s="102"/>
      <c r="F28" s="102"/>
      <c r="G28" s="102"/>
    </row>
    <row r="29" customFormat="false" ht="15" hidden="false" customHeight="true" outlineLevel="0" collapsed="false">
      <c r="B29" s="102"/>
      <c r="C29" s="102"/>
      <c r="D29" s="108"/>
      <c r="E29" s="102"/>
      <c r="F29" s="102"/>
      <c r="G29" s="102"/>
    </row>
    <row r="30" customFormat="false" ht="15" hidden="false" customHeight="true" outlineLevel="0" collapsed="false">
      <c r="B30" s="102"/>
      <c r="C30" s="102"/>
      <c r="D30" s="108"/>
      <c r="E30" s="102"/>
      <c r="F30" s="102"/>
      <c r="G30" s="102"/>
    </row>
    <row r="31" customFormat="false" ht="15" hidden="false" customHeight="true" outlineLevel="0" collapsed="false">
      <c r="B31" s="102"/>
      <c r="C31" s="102"/>
      <c r="D31" s="108"/>
      <c r="E31" s="102"/>
      <c r="F31" s="102"/>
      <c r="G31" s="102"/>
    </row>
    <row r="32" customFormat="false" ht="15" hidden="false" customHeight="true" outlineLevel="0" collapsed="false">
      <c r="B32" s="102"/>
      <c r="C32" s="102"/>
      <c r="D32" s="108"/>
      <c r="E32" s="102"/>
      <c r="F32" s="102"/>
      <c r="G32" s="102"/>
    </row>
    <row r="33" customFormat="false" ht="15" hidden="false" customHeight="true" outlineLevel="0" collapsed="false">
      <c r="B33" s="102"/>
      <c r="C33" s="102"/>
      <c r="D33" s="108"/>
      <c r="E33" s="102"/>
      <c r="F33" s="102"/>
      <c r="G33" s="102"/>
    </row>
    <row r="34" customFormat="false" ht="15" hidden="false" customHeight="true" outlineLevel="0" collapsed="false">
      <c r="B34" s="102"/>
      <c r="C34" s="102"/>
      <c r="D34" s="108"/>
      <c r="E34" s="102"/>
      <c r="F34" s="102"/>
      <c r="G34" s="102"/>
    </row>
    <row r="35" customFormat="false" ht="15" hidden="false" customHeight="true" outlineLevel="0" collapsed="false">
      <c r="B35" s="102"/>
      <c r="C35" s="102"/>
      <c r="D35" s="108"/>
      <c r="E35" s="102"/>
      <c r="F35" s="102"/>
      <c r="G35" s="102"/>
    </row>
    <row r="36" customFormat="false" ht="15" hidden="false" customHeight="true" outlineLevel="0" collapsed="false">
      <c r="B36" s="102"/>
      <c r="C36" s="102"/>
      <c r="D36" s="108"/>
      <c r="E36" s="102"/>
      <c r="F36" s="102"/>
      <c r="G36" s="102"/>
    </row>
    <row r="37" customFormat="false" ht="15" hidden="false" customHeight="true" outlineLevel="0" collapsed="false">
      <c r="B37" s="102"/>
      <c r="C37" s="102"/>
      <c r="D37" s="108"/>
      <c r="E37" s="102"/>
      <c r="F37" s="102"/>
      <c r="G37" s="102"/>
    </row>
    <row r="38" customFormat="false" ht="15" hidden="false" customHeight="true" outlineLevel="0" collapsed="false">
      <c r="B38" s="102"/>
      <c r="C38" s="102"/>
      <c r="D38" s="108"/>
      <c r="E38" s="102"/>
      <c r="F38" s="102"/>
      <c r="G38" s="102"/>
    </row>
    <row r="39" customFormat="false" ht="15" hidden="false" customHeight="true" outlineLevel="0" collapsed="false">
      <c r="B39" s="102"/>
      <c r="C39" s="102"/>
      <c r="D39" s="108"/>
      <c r="E39" s="102"/>
      <c r="F39" s="102"/>
      <c r="G39" s="102"/>
    </row>
    <row r="40" customFormat="false" ht="15" hidden="false" customHeight="true" outlineLevel="0" collapsed="false">
      <c r="B40" s="102"/>
      <c r="C40" s="102"/>
      <c r="D40" s="108"/>
      <c r="E40" s="102"/>
      <c r="F40" s="102"/>
      <c r="G40" s="102"/>
    </row>
    <row r="41" customFormat="false" ht="15" hidden="false" customHeight="true" outlineLevel="0" collapsed="false">
      <c r="B41" s="102"/>
      <c r="C41" s="102"/>
      <c r="D41" s="108"/>
      <c r="E41" s="102"/>
      <c r="F41" s="102"/>
      <c r="G41" s="102"/>
    </row>
    <row r="42" customFormat="false" ht="15" hidden="false" customHeight="true" outlineLevel="0" collapsed="false">
      <c r="B42" s="102"/>
      <c r="C42" s="102"/>
      <c r="D42" s="108"/>
      <c r="E42" s="102"/>
      <c r="F42" s="102"/>
      <c r="G42" s="102"/>
    </row>
    <row r="43" customFormat="false" ht="15" hidden="false" customHeight="true" outlineLevel="0" collapsed="false">
      <c r="B43" s="102"/>
      <c r="C43" s="102"/>
      <c r="D43" s="108"/>
      <c r="E43" s="102"/>
      <c r="F43" s="102"/>
      <c r="G43" s="102"/>
    </row>
    <row r="44" customFormat="false" ht="15" hidden="false" customHeight="true" outlineLevel="0" collapsed="false">
      <c r="B44" s="102"/>
      <c r="C44" s="102"/>
      <c r="D44" s="108"/>
      <c r="E44" s="102"/>
      <c r="F44" s="102"/>
      <c r="G44" s="102"/>
    </row>
    <row r="45" customFormat="false" ht="15" hidden="false" customHeight="true" outlineLevel="0" collapsed="false">
      <c r="B45" s="102"/>
      <c r="C45" s="102"/>
      <c r="D45" s="108"/>
      <c r="E45" s="102"/>
      <c r="F45" s="102"/>
      <c r="G45" s="102"/>
    </row>
    <row r="46" customFormat="false" ht="15" hidden="false" customHeight="true" outlineLevel="0" collapsed="false">
      <c r="B46" s="102"/>
      <c r="C46" s="102"/>
      <c r="D46" s="108"/>
      <c r="E46" s="102"/>
      <c r="F46" s="102"/>
      <c r="G46" s="102"/>
    </row>
    <row r="47" customFormat="false" ht="15" hidden="false" customHeight="true" outlineLevel="0" collapsed="false">
      <c r="B47" s="102"/>
      <c r="C47" s="102"/>
      <c r="D47" s="108"/>
      <c r="E47" s="102"/>
      <c r="F47" s="102"/>
      <c r="G47" s="102"/>
    </row>
    <row r="48" customFormat="false" ht="15" hidden="false" customHeight="true" outlineLevel="0" collapsed="false">
      <c r="B48" s="102"/>
      <c r="C48" s="102"/>
      <c r="D48" s="108"/>
      <c r="E48" s="102"/>
      <c r="F48" s="102"/>
      <c r="G48" s="102"/>
    </row>
    <row r="49" customFormat="false" ht="15" hidden="false" customHeight="true" outlineLevel="0" collapsed="false">
      <c r="B49" s="102"/>
      <c r="C49" s="102"/>
      <c r="D49" s="108"/>
      <c r="E49" s="102"/>
      <c r="F49" s="102"/>
      <c r="G49" s="102"/>
    </row>
    <row r="50" customFormat="false" ht="15" hidden="false" customHeight="true" outlineLevel="0" collapsed="false">
      <c r="B50" s="102"/>
      <c r="C50" s="102"/>
      <c r="D50" s="108"/>
      <c r="E50" s="102"/>
      <c r="F50" s="102"/>
      <c r="G50" s="102"/>
    </row>
    <row r="51" customFormat="false" ht="15" hidden="false" customHeight="true" outlineLevel="0" collapsed="false">
      <c r="B51" s="102"/>
      <c r="C51" s="102"/>
      <c r="D51" s="108"/>
      <c r="E51" s="102"/>
      <c r="F51" s="102"/>
      <c r="G51" s="102"/>
    </row>
    <row r="52" customFormat="false" ht="15" hidden="false" customHeight="true" outlineLevel="0" collapsed="false">
      <c r="B52" s="102"/>
      <c r="C52" s="102"/>
      <c r="D52" s="108"/>
      <c r="E52" s="102"/>
      <c r="F52" s="102"/>
      <c r="G52" s="102"/>
    </row>
    <row r="53" customFormat="false" ht="15" hidden="false" customHeight="true" outlineLevel="0" collapsed="false">
      <c r="B53" s="102"/>
      <c r="C53" s="102"/>
      <c r="D53" s="108"/>
      <c r="E53" s="102"/>
      <c r="F53" s="102"/>
      <c r="G53" s="102"/>
    </row>
    <row r="54" customFormat="false" ht="15" hidden="false" customHeight="true" outlineLevel="0" collapsed="false">
      <c r="B54" s="102"/>
      <c r="C54" s="102"/>
      <c r="D54" s="108"/>
      <c r="E54" s="102"/>
      <c r="F54" s="102"/>
      <c r="G54" s="102"/>
    </row>
    <row r="55" customFormat="false" ht="15" hidden="false" customHeight="true" outlineLevel="0" collapsed="false">
      <c r="B55" s="102"/>
      <c r="C55" s="102"/>
      <c r="D55" s="108"/>
      <c r="E55" s="102"/>
      <c r="F55" s="102"/>
      <c r="G55" s="102"/>
    </row>
    <row r="56" customFormat="false" ht="15" hidden="false" customHeight="true" outlineLevel="0" collapsed="false">
      <c r="B56" s="102"/>
      <c r="C56" s="102"/>
      <c r="D56" s="108"/>
      <c r="E56" s="102"/>
      <c r="F56" s="102"/>
      <c r="G56" s="102"/>
    </row>
    <row r="57" customFormat="false" ht="15" hidden="false" customHeight="true" outlineLevel="0" collapsed="false">
      <c r="B57" s="102"/>
      <c r="C57" s="102"/>
      <c r="D57" s="108"/>
      <c r="E57" s="102"/>
      <c r="F57" s="102"/>
      <c r="G57" s="102"/>
    </row>
    <row r="58" customFormat="false" ht="15" hidden="false" customHeight="true" outlineLevel="0" collapsed="false">
      <c r="B58" s="102"/>
      <c r="C58" s="102"/>
      <c r="D58" s="108"/>
      <c r="E58" s="102"/>
      <c r="F58" s="102"/>
      <c r="G58" s="102"/>
    </row>
    <row r="59" customFormat="false" ht="15" hidden="false" customHeight="true" outlineLevel="0" collapsed="false">
      <c r="B59" s="102"/>
      <c r="C59" s="102"/>
      <c r="D59" s="108"/>
      <c r="E59" s="102"/>
      <c r="F59" s="102"/>
      <c r="G59" s="102"/>
    </row>
    <row r="60" customFormat="false" ht="15" hidden="false" customHeight="true" outlineLevel="0" collapsed="false">
      <c r="B60" s="102"/>
      <c r="C60" s="102"/>
      <c r="D60" s="108"/>
      <c r="E60" s="102"/>
      <c r="F60" s="102"/>
      <c r="G60" s="102"/>
    </row>
    <row r="61" customFormat="false" ht="15" hidden="false" customHeight="true" outlineLevel="0" collapsed="false">
      <c r="B61" s="102"/>
      <c r="C61" s="102"/>
      <c r="D61" s="108"/>
      <c r="E61" s="102"/>
      <c r="F61" s="102"/>
      <c r="G61" s="102"/>
    </row>
  </sheetData>
  <sheetProtection sheet="true" password="83af" scenarios="true" selectLockedCells="true"/>
  <mergeCells count="115">
    <mergeCell ref="B4:G4"/>
    <mergeCell ref="B5:C5"/>
    <mergeCell ref="E5:F5"/>
    <mergeCell ref="B6:C6"/>
    <mergeCell ref="E6:F6"/>
    <mergeCell ref="B7:C7"/>
    <mergeCell ref="E7:F7"/>
    <mergeCell ref="B8:C8"/>
    <mergeCell ref="E8:F8"/>
    <mergeCell ref="B9:C9"/>
    <mergeCell ref="E9:F9"/>
    <mergeCell ref="B10:C10"/>
    <mergeCell ref="E10:F10"/>
    <mergeCell ref="B11:C11"/>
    <mergeCell ref="E11:F11"/>
    <mergeCell ref="B12:C12"/>
    <mergeCell ref="E12:F12"/>
    <mergeCell ref="B13:C13"/>
    <mergeCell ref="E13:F13"/>
    <mergeCell ref="B14:C14"/>
    <mergeCell ref="E14:F14"/>
    <mergeCell ref="B15:C15"/>
    <mergeCell ref="E15:F15"/>
    <mergeCell ref="B16:C16"/>
    <mergeCell ref="E16:F16"/>
    <mergeCell ref="B17:C17"/>
    <mergeCell ref="E17:F17"/>
    <mergeCell ref="B18:C18"/>
    <mergeCell ref="E18:F18"/>
    <mergeCell ref="B19:C19"/>
    <mergeCell ref="E19:F19"/>
    <mergeCell ref="B20:C20"/>
    <mergeCell ref="E20:F20"/>
    <mergeCell ref="B21:C21"/>
    <mergeCell ref="E21:F21"/>
    <mergeCell ref="B22:C22"/>
    <mergeCell ref="E22:F22"/>
    <mergeCell ref="B23:C23"/>
    <mergeCell ref="E23:F23"/>
    <mergeCell ref="B24:C24"/>
    <mergeCell ref="E24:F24"/>
    <mergeCell ref="B25:C25"/>
    <mergeCell ref="E25:F25"/>
    <mergeCell ref="B26:C26"/>
    <mergeCell ref="E26:F26"/>
    <mergeCell ref="B27:C27"/>
    <mergeCell ref="E27:F27"/>
    <mergeCell ref="B28:C28"/>
    <mergeCell ref="E28:F28"/>
    <mergeCell ref="B29:C29"/>
    <mergeCell ref="E29:F29"/>
    <mergeCell ref="B30:C30"/>
    <mergeCell ref="E30:F30"/>
    <mergeCell ref="B31:C31"/>
    <mergeCell ref="E31:F31"/>
    <mergeCell ref="B32:C32"/>
    <mergeCell ref="E32:F32"/>
    <mergeCell ref="B33:C33"/>
    <mergeCell ref="E33:F33"/>
    <mergeCell ref="B34:C34"/>
    <mergeCell ref="E34:F34"/>
    <mergeCell ref="B35:C35"/>
    <mergeCell ref="E35:F35"/>
    <mergeCell ref="B36:C36"/>
    <mergeCell ref="E36:F36"/>
    <mergeCell ref="B37:C37"/>
    <mergeCell ref="E37:F37"/>
    <mergeCell ref="B38:C38"/>
    <mergeCell ref="E38:F38"/>
    <mergeCell ref="B39:C39"/>
    <mergeCell ref="E39:F39"/>
    <mergeCell ref="B40:C40"/>
    <mergeCell ref="E40:F40"/>
    <mergeCell ref="B41:C41"/>
    <mergeCell ref="E41:F41"/>
    <mergeCell ref="B42:C42"/>
    <mergeCell ref="E42:F42"/>
    <mergeCell ref="B43:C43"/>
    <mergeCell ref="E43:F43"/>
    <mergeCell ref="B44:C44"/>
    <mergeCell ref="E44:F44"/>
    <mergeCell ref="B45:C45"/>
    <mergeCell ref="E45:F45"/>
    <mergeCell ref="B46:C46"/>
    <mergeCell ref="E46:F46"/>
    <mergeCell ref="B47:C47"/>
    <mergeCell ref="E47:F47"/>
    <mergeCell ref="B48:C48"/>
    <mergeCell ref="E48:F48"/>
    <mergeCell ref="B49:C49"/>
    <mergeCell ref="E49:F49"/>
    <mergeCell ref="B50:C50"/>
    <mergeCell ref="E50:F50"/>
    <mergeCell ref="B51:C51"/>
    <mergeCell ref="E51:F51"/>
    <mergeCell ref="B52:C52"/>
    <mergeCell ref="E52:F52"/>
    <mergeCell ref="B53:C53"/>
    <mergeCell ref="E53:F53"/>
    <mergeCell ref="B54:C54"/>
    <mergeCell ref="E54:F54"/>
    <mergeCell ref="B55:C55"/>
    <mergeCell ref="E55:F55"/>
    <mergeCell ref="B56:C56"/>
    <mergeCell ref="E56:F56"/>
    <mergeCell ref="B57:C57"/>
    <mergeCell ref="E57:F57"/>
    <mergeCell ref="B58:C58"/>
    <mergeCell ref="E58:F58"/>
    <mergeCell ref="B59:C59"/>
    <mergeCell ref="E59:F59"/>
    <mergeCell ref="B60:C60"/>
    <mergeCell ref="E60:F60"/>
    <mergeCell ref="B61:C61"/>
    <mergeCell ref="E61:F61"/>
  </mergeCells>
  <dataValidations count="2">
    <dataValidation allowBlank="true" operator="between" showDropDown="false" showErrorMessage="true" showInputMessage="true" sqref="E6:E61" type="list">
      <formula1>CURRENCY</formula1>
      <formula2>0</formula2>
    </dataValidation>
    <dataValidation allowBlank="true" error="The entered date is in the future or is not in the dd/mm/yyyy format" errorTitle="Invalid Date" operator="lessThanOrEqual" showDropDown="false" showErrorMessage="true" showInputMessage="true" sqref="D6:D61" type="none">
      <formula1>0</formula1>
      <formula2>0</formula2>
    </dataValidation>
  </dataValidations>
  <printOptions headings="false" gridLines="false" gridLinesSet="true" horizontalCentered="false" verticalCentered="false"/>
  <pageMargins left="0.7" right="0.7" top="0.75" bottom="0.75" header="0.511805555555555" footer="0.3"/>
  <pageSetup paperSize="1"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&amp;LRESTRICTED</oddFooter>
  </headerFooter>
  <drawing r:id="rId1"/>
</worksheet>
</file>

<file path=xl/worksheets/sheet4.xml><?xml version="1.0" encoding="utf-8"?>
<worksheet xmlns="http://schemas.openxmlformats.org/spreadsheetml/2006/main" xmlns:r="http://schemas.openxmlformats.org/officeDocument/2006/relationships">
  <sheetPr filterMode="false">
    <pageSetUpPr fitToPage="false"/>
  </sheetPr>
  <dimension ref="B2:J61"/>
  <sheetViews>
    <sheetView windowProtection="false" showFormulas="false" showGridLines="false" showRowColHeaders="false" showZeros="true" rightToLeft="false" tabSelected="false" showOutlineSymbols="true" defaultGridColor="true" view="normal" topLeftCell="A1" colorId="64" zoomScale="100" zoomScaleNormal="100" zoomScalePageLayoutView="100" workbookViewId="0">
      <selection pane="topLeft" activeCell="B5" activeCellId="0" sqref="B5"/>
    </sheetView>
  </sheetViews>
  <sheetFormatPr defaultRowHeight="15"/>
  <cols>
    <col collapsed="false" hidden="false" max="1" min="1" style="0" width="5.35627530364372"/>
    <col collapsed="false" hidden="false" max="2" min="2" style="0" width="17.3522267206478"/>
    <col collapsed="false" hidden="false" max="3" min="3" style="0" width="9.4251012145749"/>
    <col collapsed="false" hidden="false" max="4" min="4" style="0" width="16.8178137651822"/>
    <col collapsed="false" hidden="false" max="5" min="5" style="0" width="11.6761133603239"/>
    <col collapsed="false" hidden="false" max="6" min="6" style="0" width="10.6032388663968"/>
    <col collapsed="false" hidden="false" max="7" min="7" style="0" width="15.5303643724696"/>
    <col collapsed="false" hidden="false" max="8" min="8" style="0" width="21.3157894736842"/>
    <col collapsed="false" hidden="false" max="9" min="9" style="0" width="24.4251012145749"/>
    <col collapsed="false" hidden="false" max="10" min="10" style="0" width="24.9595141700405"/>
    <col collapsed="false" hidden="false" max="1025" min="11" style="0" width="8.57085020242915"/>
  </cols>
  <sheetData>
    <row r="2" customFormat="false" ht="15" hidden="false" customHeight="true" outlineLevel="0" collapsed="false">
      <c r="D2" s="110" t="s">
        <v>71</v>
      </c>
      <c r="E2" s="110"/>
      <c r="F2" s="110"/>
      <c r="G2" s="110"/>
      <c r="H2" s="110"/>
      <c r="I2" s="110"/>
      <c r="J2" s="110"/>
    </row>
    <row r="3" customFormat="false" ht="15" hidden="false" customHeight="false" outlineLevel="0" collapsed="false">
      <c r="D3" s="110"/>
      <c r="E3" s="110"/>
      <c r="F3" s="110"/>
      <c r="G3" s="110"/>
      <c r="H3" s="110"/>
      <c r="I3" s="110"/>
      <c r="J3" s="110"/>
    </row>
    <row r="4" customFormat="false" ht="18.75" hidden="false" customHeight="false" outlineLevel="0" collapsed="false">
      <c r="B4" s="104" t="s">
        <v>72</v>
      </c>
      <c r="C4" s="104"/>
      <c r="D4" s="104"/>
      <c r="E4" s="104"/>
      <c r="F4" s="104"/>
      <c r="G4" s="104"/>
      <c r="H4" s="104"/>
      <c r="I4" s="104"/>
      <c r="J4" s="104"/>
    </row>
    <row r="5" customFormat="false" ht="26.25" hidden="false" customHeight="true" outlineLevel="0" collapsed="false">
      <c r="B5" s="111" t="s">
        <v>73</v>
      </c>
      <c r="C5" s="111"/>
      <c r="D5" s="111" t="s">
        <v>70</v>
      </c>
      <c r="E5" s="111" t="s">
        <v>28</v>
      </c>
      <c r="F5" s="111"/>
      <c r="G5" s="101" t="s">
        <v>29</v>
      </c>
      <c r="H5" s="101" t="s">
        <v>74</v>
      </c>
      <c r="I5" s="101" t="s">
        <v>75</v>
      </c>
      <c r="J5" s="101" t="s">
        <v>67</v>
      </c>
    </row>
    <row r="6" customFormat="false" ht="15" hidden="false" customHeight="false" outlineLevel="0" collapsed="false">
      <c r="B6" s="102"/>
      <c r="C6" s="102"/>
      <c r="D6" s="108"/>
      <c r="E6" s="102"/>
      <c r="F6" s="102"/>
      <c r="G6" s="102" t="n">
        <v>0</v>
      </c>
      <c r="H6" s="102"/>
      <c r="I6" s="102"/>
      <c r="J6" s="102"/>
    </row>
    <row r="7" customFormat="false" ht="15" hidden="false" customHeight="false" outlineLevel="0" collapsed="false">
      <c r="B7" s="102"/>
      <c r="C7" s="102"/>
      <c r="D7" s="108"/>
      <c r="E7" s="102"/>
      <c r="F7" s="102"/>
      <c r="G7" s="102"/>
      <c r="H7" s="102"/>
      <c r="I7" s="102"/>
      <c r="J7" s="102"/>
    </row>
    <row r="8" customFormat="false" ht="15" hidden="false" customHeight="false" outlineLevel="0" collapsed="false">
      <c r="B8" s="102"/>
      <c r="C8" s="102"/>
      <c r="D8" s="108"/>
      <c r="E8" s="102"/>
      <c r="F8" s="102"/>
      <c r="G8" s="102"/>
      <c r="H8" s="102"/>
      <c r="I8" s="102"/>
      <c r="J8" s="102"/>
    </row>
    <row r="9" customFormat="false" ht="15" hidden="false" customHeight="false" outlineLevel="0" collapsed="false">
      <c r="B9" s="102"/>
      <c r="C9" s="102"/>
      <c r="D9" s="108"/>
      <c r="E9" s="102"/>
      <c r="F9" s="102"/>
      <c r="G9" s="102"/>
      <c r="H9" s="102"/>
      <c r="I9" s="102"/>
      <c r="J9" s="102"/>
    </row>
    <row r="10" customFormat="false" ht="15" hidden="false" customHeight="false" outlineLevel="0" collapsed="false">
      <c r="B10" s="102"/>
      <c r="C10" s="102"/>
      <c r="D10" s="108"/>
      <c r="E10" s="102"/>
      <c r="F10" s="102"/>
      <c r="G10" s="102"/>
      <c r="H10" s="102"/>
      <c r="I10" s="102"/>
      <c r="J10" s="102"/>
    </row>
    <row r="11" customFormat="false" ht="15" hidden="false" customHeight="false" outlineLevel="0" collapsed="false">
      <c r="B11" s="102"/>
      <c r="C11" s="102"/>
      <c r="D11" s="108"/>
      <c r="E11" s="102"/>
      <c r="F11" s="102"/>
      <c r="G11" s="102"/>
      <c r="H11" s="102"/>
      <c r="I11" s="102"/>
      <c r="J11" s="102"/>
    </row>
    <row r="12" customFormat="false" ht="15" hidden="false" customHeight="false" outlineLevel="0" collapsed="false">
      <c r="B12" s="102"/>
      <c r="C12" s="102"/>
      <c r="D12" s="108"/>
      <c r="E12" s="102"/>
      <c r="F12" s="102"/>
      <c r="G12" s="102"/>
      <c r="H12" s="102"/>
      <c r="I12" s="102"/>
      <c r="J12" s="102"/>
    </row>
    <row r="13" customFormat="false" ht="15" hidden="false" customHeight="false" outlineLevel="0" collapsed="false">
      <c r="B13" s="102"/>
      <c r="C13" s="102"/>
      <c r="D13" s="108"/>
      <c r="E13" s="102"/>
      <c r="F13" s="102"/>
      <c r="G13" s="102"/>
      <c r="H13" s="102"/>
      <c r="I13" s="102"/>
      <c r="J13" s="102"/>
    </row>
    <row r="14" customFormat="false" ht="15" hidden="false" customHeight="false" outlineLevel="0" collapsed="false">
      <c r="B14" s="102"/>
      <c r="C14" s="102"/>
      <c r="D14" s="108"/>
      <c r="E14" s="102"/>
      <c r="F14" s="102"/>
      <c r="G14" s="102"/>
      <c r="H14" s="102"/>
      <c r="I14" s="102"/>
      <c r="J14" s="102"/>
    </row>
    <row r="15" customFormat="false" ht="15" hidden="false" customHeight="false" outlineLevel="0" collapsed="false">
      <c r="B15" s="102"/>
      <c r="C15" s="102"/>
      <c r="D15" s="108"/>
      <c r="E15" s="102"/>
      <c r="F15" s="102"/>
      <c r="G15" s="102"/>
      <c r="H15" s="102"/>
      <c r="I15" s="102"/>
      <c r="J15" s="102"/>
    </row>
    <row r="16" customFormat="false" ht="15" hidden="false" customHeight="false" outlineLevel="0" collapsed="false">
      <c r="B16" s="102"/>
      <c r="C16" s="102"/>
      <c r="D16" s="108"/>
      <c r="E16" s="102"/>
      <c r="F16" s="102"/>
      <c r="G16" s="102"/>
      <c r="H16" s="102"/>
      <c r="I16" s="102"/>
      <c r="J16" s="102"/>
    </row>
    <row r="17" customFormat="false" ht="15" hidden="false" customHeight="false" outlineLevel="0" collapsed="false">
      <c r="B17" s="102"/>
      <c r="C17" s="102"/>
      <c r="D17" s="108"/>
      <c r="E17" s="102"/>
      <c r="F17" s="102"/>
      <c r="G17" s="102"/>
      <c r="H17" s="102"/>
      <c r="I17" s="102"/>
      <c r="J17" s="102"/>
    </row>
    <row r="18" customFormat="false" ht="15" hidden="false" customHeight="false" outlineLevel="0" collapsed="false">
      <c r="B18" s="102"/>
      <c r="C18" s="102"/>
      <c r="D18" s="108"/>
      <c r="E18" s="102"/>
      <c r="F18" s="102"/>
      <c r="G18" s="102"/>
      <c r="H18" s="102"/>
      <c r="I18" s="102"/>
      <c r="J18" s="102"/>
    </row>
    <row r="19" customFormat="false" ht="15" hidden="false" customHeight="false" outlineLevel="0" collapsed="false">
      <c r="B19" s="102"/>
      <c r="C19" s="102"/>
      <c r="D19" s="108"/>
      <c r="E19" s="102"/>
      <c r="F19" s="102"/>
      <c r="G19" s="102"/>
      <c r="H19" s="102"/>
      <c r="I19" s="102"/>
      <c r="J19" s="102"/>
    </row>
    <row r="20" customFormat="false" ht="15" hidden="false" customHeight="false" outlineLevel="0" collapsed="false">
      <c r="B20" s="102"/>
      <c r="C20" s="102"/>
      <c r="D20" s="108"/>
      <c r="E20" s="102"/>
      <c r="F20" s="102"/>
      <c r="G20" s="102"/>
      <c r="H20" s="102"/>
      <c r="I20" s="102"/>
      <c r="J20" s="102"/>
    </row>
    <row r="21" customFormat="false" ht="15" hidden="false" customHeight="false" outlineLevel="0" collapsed="false">
      <c r="B21" s="102"/>
      <c r="C21" s="102"/>
      <c r="D21" s="108"/>
      <c r="E21" s="102"/>
      <c r="F21" s="102"/>
      <c r="G21" s="102"/>
      <c r="H21" s="102"/>
      <c r="I21" s="102"/>
      <c r="J21" s="102"/>
    </row>
    <row r="22" customFormat="false" ht="15" hidden="false" customHeight="false" outlineLevel="0" collapsed="false">
      <c r="B22" s="102"/>
      <c r="C22" s="102"/>
      <c r="D22" s="108"/>
      <c r="E22" s="102"/>
      <c r="F22" s="102"/>
      <c r="G22" s="102"/>
      <c r="H22" s="102"/>
      <c r="I22" s="102"/>
      <c r="J22" s="102"/>
    </row>
    <row r="23" customFormat="false" ht="15" hidden="false" customHeight="false" outlineLevel="0" collapsed="false">
      <c r="B23" s="102"/>
      <c r="C23" s="102"/>
      <c r="D23" s="108"/>
      <c r="E23" s="102"/>
      <c r="F23" s="102"/>
      <c r="G23" s="102"/>
      <c r="H23" s="102"/>
      <c r="I23" s="102"/>
      <c r="J23" s="102"/>
    </row>
    <row r="24" customFormat="false" ht="15" hidden="false" customHeight="false" outlineLevel="0" collapsed="false">
      <c r="B24" s="102"/>
      <c r="C24" s="102"/>
      <c r="D24" s="108"/>
      <c r="E24" s="102"/>
      <c r="F24" s="102"/>
      <c r="G24" s="102"/>
      <c r="H24" s="102"/>
      <c r="I24" s="102"/>
      <c r="J24" s="102"/>
    </row>
    <row r="25" customFormat="false" ht="15" hidden="false" customHeight="false" outlineLevel="0" collapsed="false">
      <c r="B25" s="102"/>
      <c r="C25" s="102"/>
      <c r="D25" s="108"/>
      <c r="E25" s="102"/>
      <c r="F25" s="102"/>
      <c r="G25" s="102"/>
      <c r="H25" s="102"/>
      <c r="I25" s="102"/>
      <c r="J25" s="102"/>
    </row>
    <row r="26" customFormat="false" ht="15" hidden="false" customHeight="false" outlineLevel="0" collapsed="false">
      <c r="B26" s="102"/>
      <c r="C26" s="102"/>
      <c r="D26" s="108"/>
      <c r="E26" s="102"/>
      <c r="F26" s="102"/>
      <c r="G26" s="102"/>
      <c r="H26" s="102"/>
      <c r="I26" s="102"/>
      <c r="J26" s="102"/>
    </row>
    <row r="27" customFormat="false" ht="15" hidden="false" customHeight="false" outlineLevel="0" collapsed="false">
      <c r="B27" s="102"/>
      <c r="C27" s="102"/>
      <c r="D27" s="108"/>
      <c r="E27" s="102"/>
      <c r="F27" s="102"/>
      <c r="G27" s="102"/>
      <c r="H27" s="102"/>
      <c r="I27" s="102"/>
      <c r="J27" s="102"/>
    </row>
    <row r="28" customFormat="false" ht="15" hidden="false" customHeight="false" outlineLevel="0" collapsed="false">
      <c r="B28" s="102"/>
      <c r="C28" s="102"/>
      <c r="D28" s="108"/>
      <c r="E28" s="102"/>
      <c r="F28" s="102"/>
      <c r="G28" s="102"/>
      <c r="H28" s="102"/>
      <c r="I28" s="102"/>
      <c r="J28" s="102"/>
    </row>
    <row r="29" customFormat="false" ht="15" hidden="false" customHeight="false" outlineLevel="0" collapsed="false">
      <c r="B29" s="102"/>
      <c r="C29" s="102"/>
      <c r="D29" s="108"/>
      <c r="E29" s="102"/>
      <c r="F29" s="102"/>
      <c r="G29" s="102"/>
      <c r="H29" s="102"/>
      <c r="I29" s="102"/>
      <c r="J29" s="102"/>
    </row>
    <row r="30" customFormat="false" ht="15" hidden="false" customHeight="false" outlineLevel="0" collapsed="false">
      <c r="B30" s="102"/>
      <c r="C30" s="102"/>
      <c r="D30" s="108"/>
      <c r="E30" s="102"/>
      <c r="F30" s="102"/>
      <c r="G30" s="102"/>
      <c r="H30" s="102"/>
      <c r="I30" s="102"/>
      <c r="J30" s="102"/>
    </row>
    <row r="31" customFormat="false" ht="15" hidden="false" customHeight="false" outlineLevel="0" collapsed="false">
      <c r="B31" s="102"/>
      <c r="C31" s="102"/>
      <c r="D31" s="108"/>
      <c r="E31" s="102"/>
      <c r="F31" s="102"/>
      <c r="G31" s="102"/>
      <c r="H31" s="102"/>
      <c r="I31" s="102"/>
      <c r="J31" s="102"/>
    </row>
    <row r="32" customFormat="false" ht="15" hidden="false" customHeight="false" outlineLevel="0" collapsed="false">
      <c r="B32" s="102"/>
      <c r="C32" s="102"/>
      <c r="D32" s="108"/>
      <c r="E32" s="102"/>
      <c r="F32" s="102"/>
      <c r="G32" s="102"/>
      <c r="H32" s="102"/>
      <c r="I32" s="102"/>
      <c r="J32" s="102"/>
    </row>
    <row r="33" customFormat="false" ht="15" hidden="false" customHeight="false" outlineLevel="0" collapsed="false">
      <c r="B33" s="102"/>
      <c r="C33" s="102"/>
      <c r="D33" s="108"/>
      <c r="E33" s="102"/>
      <c r="F33" s="102"/>
      <c r="G33" s="102"/>
      <c r="H33" s="102"/>
      <c r="I33" s="102"/>
      <c r="J33" s="102"/>
    </row>
    <row r="34" customFormat="false" ht="15" hidden="false" customHeight="false" outlineLevel="0" collapsed="false">
      <c r="B34" s="102"/>
      <c r="C34" s="102"/>
      <c r="D34" s="108"/>
      <c r="E34" s="102"/>
      <c r="F34" s="102"/>
      <c r="G34" s="102"/>
      <c r="H34" s="102"/>
      <c r="I34" s="102"/>
      <c r="J34" s="102"/>
    </row>
    <row r="35" customFormat="false" ht="15" hidden="false" customHeight="false" outlineLevel="0" collapsed="false">
      <c r="B35" s="102"/>
      <c r="C35" s="102"/>
      <c r="D35" s="108"/>
      <c r="E35" s="102"/>
      <c r="F35" s="102"/>
      <c r="G35" s="102"/>
      <c r="H35" s="102"/>
      <c r="I35" s="102"/>
      <c r="J35" s="102"/>
    </row>
    <row r="36" customFormat="false" ht="15" hidden="false" customHeight="false" outlineLevel="0" collapsed="false">
      <c r="B36" s="102"/>
      <c r="C36" s="102"/>
      <c r="D36" s="108"/>
      <c r="E36" s="102"/>
      <c r="F36" s="102"/>
      <c r="G36" s="102"/>
      <c r="H36" s="102"/>
      <c r="I36" s="102"/>
      <c r="J36" s="102"/>
    </row>
    <row r="37" customFormat="false" ht="15" hidden="false" customHeight="false" outlineLevel="0" collapsed="false">
      <c r="B37" s="102"/>
      <c r="C37" s="102"/>
      <c r="D37" s="108"/>
      <c r="E37" s="102"/>
      <c r="F37" s="102"/>
      <c r="G37" s="102"/>
      <c r="H37" s="102"/>
      <c r="I37" s="102"/>
      <c r="J37" s="102"/>
    </row>
    <row r="38" customFormat="false" ht="15" hidden="false" customHeight="false" outlineLevel="0" collapsed="false">
      <c r="B38" s="102"/>
      <c r="C38" s="102"/>
      <c r="D38" s="108"/>
      <c r="E38" s="102"/>
      <c r="F38" s="102"/>
      <c r="G38" s="102"/>
      <c r="H38" s="102"/>
      <c r="I38" s="102"/>
      <c r="J38" s="102"/>
    </row>
    <row r="39" customFormat="false" ht="15" hidden="false" customHeight="false" outlineLevel="0" collapsed="false">
      <c r="B39" s="102"/>
      <c r="C39" s="102"/>
      <c r="D39" s="108"/>
      <c r="E39" s="102"/>
      <c r="F39" s="102"/>
      <c r="G39" s="102"/>
      <c r="H39" s="102"/>
      <c r="I39" s="102"/>
      <c r="J39" s="102"/>
    </row>
    <row r="40" customFormat="false" ht="15" hidden="false" customHeight="false" outlineLevel="0" collapsed="false">
      <c r="B40" s="102"/>
      <c r="C40" s="102"/>
      <c r="D40" s="108"/>
      <c r="E40" s="102"/>
      <c r="F40" s="102"/>
      <c r="G40" s="102"/>
      <c r="H40" s="102"/>
      <c r="I40" s="102"/>
      <c r="J40" s="102"/>
    </row>
    <row r="41" customFormat="false" ht="15" hidden="false" customHeight="false" outlineLevel="0" collapsed="false">
      <c r="B41" s="102"/>
      <c r="C41" s="102"/>
      <c r="D41" s="108"/>
      <c r="E41" s="102"/>
      <c r="F41" s="102"/>
      <c r="G41" s="102"/>
      <c r="H41" s="102"/>
      <c r="I41" s="102"/>
      <c r="J41" s="102"/>
    </row>
    <row r="42" customFormat="false" ht="15" hidden="false" customHeight="false" outlineLevel="0" collapsed="false">
      <c r="B42" s="102"/>
      <c r="C42" s="102"/>
      <c r="D42" s="108"/>
      <c r="E42" s="102"/>
      <c r="F42" s="102"/>
      <c r="G42" s="102"/>
      <c r="H42" s="102"/>
      <c r="I42" s="102"/>
      <c r="J42" s="102"/>
    </row>
    <row r="43" customFormat="false" ht="15" hidden="false" customHeight="false" outlineLevel="0" collapsed="false">
      <c r="B43" s="102"/>
      <c r="C43" s="102"/>
      <c r="D43" s="108"/>
      <c r="E43" s="102"/>
      <c r="F43" s="102"/>
      <c r="G43" s="102"/>
      <c r="H43" s="102"/>
      <c r="I43" s="102"/>
      <c r="J43" s="102"/>
    </row>
    <row r="44" customFormat="false" ht="15" hidden="false" customHeight="false" outlineLevel="0" collapsed="false">
      <c r="B44" s="102"/>
      <c r="C44" s="102"/>
      <c r="D44" s="108"/>
      <c r="E44" s="102"/>
      <c r="F44" s="102"/>
      <c r="G44" s="102"/>
      <c r="H44" s="102"/>
      <c r="I44" s="102"/>
      <c r="J44" s="102"/>
    </row>
    <row r="45" customFormat="false" ht="15" hidden="false" customHeight="false" outlineLevel="0" collapsed="false">
      <c r="B45" s="102"/>
      <c r="C45" s="102"/>
      <c r="D45" s="108"/>
      <c r="E45" s="102"/>
      <c r="F45" s="102"/>
      <c r="G45" s="102"/>
      <c r="H45" s="102"/>
      <c r="I45" s="102"/>
      <c r="J45" s="102"/>
    </row>
    <row r="46" customFormat="false" ht="15" hidden="false" customHeight="false" outlineLevel="0" collapsed="false">
      <c r="B46" s="102"/>
      <c r="C46" s="102"/>
      <c r="D46" s="108"/>
      <c r="E46" s="102"/>
      <c r="F46" s="102"/>
      <c r="G46" s="102"/>
      <c r="H46" s="102"/>
      <c r="I46" s="102"/>
      <c r="J46" s="102"/>
    </row>
    <row r="47" customFormat="false" ht="15" hidden="false" customHeight="false" outlineLevel="0" collapsed="false">
      <c r="B47" s="102"/>
      <c r="C47" s="102"/>
      <c r="D47" s="108"/>
      <c r="E47" s="102"/>
      <c r="F47" s="102"/>
      <c r="G47" s="102"/>
      <c r="H47" s="102"/>
      <c r="I47" s="102"/>
      <c r="J47" s="102"/>
    </row>
    <row r="48" customFormat="false" ht="15" hidden="false" customHeight="false" outlineLevel="0" collapsed="false">
      <c r="B48" s="102"/>
      <c r="C48" s="102"/>
      <c r="D48" s="108"/>
      <c r="E48" s="102"/>
      <c r="F48" s="102"/>
      <c r="G48" s="102"/>
      <c r="H48" s="102"/>
      <c r="I48" s="102"/>
      <c r="J48" s="102"/>
    </row>
    <row r="49" customFormat="false" ht="15" hidden="false" customHeight="false" outlineLevel="0" collapsed="false">
      <c r="B49" s="102"/>
      <c r="C49" s="102"/>
      <c r="D49" s="108"/>
      <c r="E49" s="102"/>
      <c r="F49" s="102"/>
      <c r="G49" s="102"/>
      <c r="H49" s="102"/>
      <c r="I49" s="102"/>
      <c r="J49" s="102"/>
    </row>
    <row r="50" customFormat="false" ht="15" hidden="false" customHeight="false" outlineLevel="0" collapsed="false">
      <c r="B50" s="102"/>
      <c r="C50" s="102"/>
      <c r="D50" s="108"/>
      <c r="E50" s="102"/>
      <c r="F50" s="102"/>
      <c r="G50" s="102"/>
      <c r="H50" s="102"/>
      <c r="I50" s="102"/>
      <c r="J50" s="102"/>
    </row>
    <row r="51" customFormat="false" ht="15" hidden="false" customHeight="false" outlineLevel="0" collapsed="false">
      <c r="B51" s="102"/>
      <c r="C51" s="102"/>
      <c r="D51" s="108"/>
      <c r="E51" s="102"/>
      <c r="F51" s="102"/>
      <c r="G51" s="102"/>
      <c r="H51" s="102"/>
      <c r="I51" s="102"/>
      <c r="J51" s="102"/>
    </row>
    <row r="52" customFormat="false" ht="15" hidden="false" customHeight="false" outlineLevel="0" collapsed="false">
      <c r="B52" s="102"/>
      <c r="C52" s="102"/>
      <c r="D52" s="108"/>
      <c r="E52" s="102"/>
      <c r="F52" s="102"/>
      <c r="G52" s="102"/>
      <c r="H52" s="102"/>
      <c r="I52" s="102"/>
      <c r="J52" s="102"/>
    </row>
    <row r="53" customFormat="false" ht="15" hidden="false" customHeight="false" outlineLevel="0" collapsed="false">
      <c r="B53" s="102"/>
      <c r="C53" s="102"/>
      <c r="D53" s="108"/>
      <c r="E53" s="102"/>
      <c r="F53" s="102"/>
      <c r="G53" s="102"/>
      <c r="H53" s="102"/>
      <c r="I53" s="102"/>
      <c r="J53" s="102"/>
    </row>
    <row r="54" customFormat="false" ht="15" hidden="false" customHeight="false" outlineLevel="0" collapsed="false">
      <c r="B54" s="102"/>
      <c r="C54" s="102"/>
      <c r="D54" s="108"/>
      <c r="E54" s="102"/>
      <c r="F54" s="102"/>
      <c r="G54" s="102"/>
      <c r="H54" s="102"/>
      <c r="I54" s="102"/>
      <c r="J54" s="102"/>
    </row>
    <row r="55" customFormat="false" ht="15" hidden="false" customHeight="false" outlineLevel="0" collapsed="false">
      <c r="B55" s="102"/>
      <c r="C55" s="102"/>
      <c r="D55" s="108"/>
      <c r="E55" s="102"/>
      <c r="F55" s="102"/>
      <c r="G55" s="102"/>
      <c r="H55" s="102"/>
      <c r="I55" s="102"/>
      <c r="J55" s="102"/>
    </row>
    <row r="56" customFormat="false" ht="15" hidden="false" customHeight="false" outlineLevel="0" collapsed="false">
      <c r="B56" s="102"/>
      <c r="C56" s="102"/>
      <c r="D56" s="108"/>
      <c r="E56" s="102"/>
      <c r="F56" s="102"/>
      <c r="G56" s="102"/>
      <c r="H56" s="102"/>
      <c r="I56" s="102"/>
      <c r="J56" s="102"/>
    </row>
    <row r="57" customFormat="false" ht="15" hidden="false" customHeight="false" outlineLevel="0" collapsed="false">
      <c r="B57" s="102"/>
      <c r="C57" s="102"/>
      <c r="D57" s="108"/>
      <c r="E57" s="102"/>
      <c r="F57" s="102"/>
      <c r="G57" s="102"/>
      <c r="H57" s="102"/>
      <c r="I57" s="102"/>
      <c r="J57" s="102"/>
    </row>
    <row r="58" customFormat="false" ht="15" hidden="false" customHeight="false" outlineLevel="0" collapsed="false">
      <c r="B58" s="102"/>
      <c r="C58" s="102"/>
      <c r="D58" s="108"/>
      <c r="E58" s="102"/>
      <c r="F58" s="102"/>
      <c r="G58" s="102"/>
      <c r="H58" s="102"/>
      <c r="I58" s="102"/>
      <c r="J58" s="102"/>
    </row>
    <row r="59" customFormat="false" ht="15" hidden="false" customHeight="false" outlineLevel="0" collapsed="false">
      <c r="B59" s="102"/>
      <c r="C59" s="102"/>
      <c r="D59" s="108"/>
      <c r="E59" s="102"/>
      <c r="F59" s="102"/>
      <c r="G59" s="102"/>
      <c r="H59" s="102"/>
      <c r="I59" s="102"/>
      <c r="J59" s="102"/>
    </row>
    <row r="60" customFormat="false" ht="15" hidden="false" customHeight="false" outlineLevel="0" collapsed="false">
      <c r="B60" s="102"/>
      <c r="C60" s="102"/>
      <c r="D60" s="108"/>
      <c r="E60" s="102"/>
      <c r="F60" s="102"/>
      <c r="G60" s="102"/>
      <c r="H60" s="102"/>
      <c r="I60" s="102"/>
      <c r="J60" s="102"/>
    </row>
    <row r="61" customFormat="false" ht="15" hidden="false" customHeight="false" outlineLevel="0" collapsed="false">
      <c r="B61" s="102"/>
      <c r="C61" s="102"/>
      <c r="D61" s="108"/>
      <c r="E61" s="102"/>
      <c r="F61" s="102"/>
      <c r="G61" s="102"/>
      <c r="H61" s="102"/>
      <c r="I61" s="102"/>
      <c r="J61" s="102"/>
    </row>
  </sheetData>
  <sheetProtection sheet="true" password="83af" scenarios="true" selectLockedCells="true"/>
  <mergeCells count="116">
    <mergeCell ref="D2:J3"/>
    <mergeCell ref="B4:J4"/>
    <mergeCell ref="B5:C5"/>
    <mergeCell ref="E5:F5"/>
    <mergeCell ref="B6:C6"/>
    <mergeCell ref="E6:F6"/>
    <mergeCell ref="B7:C7"/>
    <mergeCell ref="E7:F7"/>
    <mergeCell ref="B8:C8"/>
    <mergeCell ref="E8:F8"/>
    <mergeCell ref="B9:C9"/>
    <mergeCell ref="E9:F9"/>
    <mergeCell ref="B10:C10"/>
    <mergeCell ref="E10:F10"/>
    <mergeCell ref="B11:C11"/>
    <mergeCell ref="E11:F11"/>
    <mergeCell ref="B12:C12"/>
    <mergeCell ref="E12:F12"/>
    <mergeCell ref="B13:C13"/>
    <mergeCell ref="E13:F13"/>
    <mergeCell ref="B14:C14"/>
    <mergeCell ref="E14:F14"/>
    <mergeCell ref="B15:C15"/>
    <mergeCell ref="E15:F15"/>
    <mergeCell ref="B16:C16"/>
    <mergeCell ref="E16:F16"/>
    <mergeCell ref="B17:C17"/>
    <mergeCell ref="E17:F17"/>
    <mergeCell ref="B18:C18"/>
    <mergeCell ref="E18:F18"/>
    <mergeCell ref="B19:C19"/>
    <mergeCell ref="E19:F19"/>
    <mergeCell ref="B20:C20"/>
    <mergeCell ref="E20:F20"/>
    <mergeCell ref="B21:C21"/>
    <mergeCell ref="E21:F21"/>
    <mergeCell ref="B22:C22"/>
    <mergeCell ref="E22:F22"/>
    <mergeCell ref="B23:C23"/>
    <mergeCell ref="E23:F23"/>
    <mergeCell ref="B24:C24"/>
    <mergeCell ref="E24:F24"/>
    <mergeCell ref="B25:C25"/>
    <mergeCell ref="E25:F25"/>
    <mergeCell ref="B26:C26"/>
    <mergeCell ref="E26:F26"/>
    <mergeCell ref="B27:C27"/>
    <mergeCell ref="E27:F27"/>
    <mergeCell ref="B28:C28"/>
    <mergeCell ref="E28:F28"/>
    <mergeCell ref="B29:C29"/>
    <mergeCell ref="E29:F29"/>
    <mergeCell ref="B30:C30"/>
    <mergeCell ref="E30:F30"/>
    <mergeCell ref="B31:C31"/>
    <mergeCell ref="E31:F31"/>
    <mergeCell ref="B32:C32"/>
    <mergeCell ref="E32:F32"/>
    <mergeCell ref="B33:C33"/>
    <mergeCell ref="E33:F33"/>
    <mergeCell ref="B34:C34"/>
    <mergeCell ref="E34:F34"/>
    <mergeCell ref="B35:C35"/>
    <mergeCell ref="E35:F35"/>
    <mergeCell ref="B36:C36"/>
    <mergeCell ref="E36:F36"/>
    <mergeCell ref="B37:C37"/>
    <mergeCell ref="E37:F37"/>
    <mergeCell ref="B38:C38"/>
    <mergeCell ref="E38:F38"/>
    <mergeCell ref="B39:C39"/>
    <mergeCell ref="E39:F39"/>
    <mergeCell ref="B40:C40"/>
    <mergeCell ref="E40:F40"/>
    <mergeCell ref="B41:C41"/>
    <mergeCell ref="E41:F41"/>
    <mergeCell ref="B42:C42"/>
    <mergeCell ref="E42:F42"/>
    <mergeCell ref="B43:C43"/>
    <mergeCell ref="E43:F43"/>
    <mergeCell ref="B44:C44"/>
    <mergeCell ref="E44:F44"/>
    <mergeCell ref="B45:C45"/>
    <mergeCell ref="E45:F45"/>
    <mergeCell ref="B46:C46"/>
    <mergeCell ref="E46:F46"/>
    <mergeCell ref="B47:C47"/>
    <mergeCell ref="E47:F47"/>
    <mergeCell ref="B48:C48"/>
    <mergeCell ref="E48:F48"/>
    <mergeCell ref="B49:C49"/>
    <mergeCell ref="E49:F49"/>
    <mergeCell ref="B50:C50"/>
    <mergeCell ref="E50:F50"/>
    <mergeCell ref="B51:C51"/>
    <mergeCell ref="E51:F51"/>
    <mergeCell ref="B52:C52"/>
    <mergeCell ref="E52:F52"/>
    <mergeCell ref="B53:C53"/>
    <mergeCell ref="E53:F53"/>
    <mergeCell ref="B54:C54"/>
    <mergeCell ref="E54:F54"/>
    <mergeCell ref="B55:C55"/>
    <mergeCell ref="E55:F55"/>
    <mergeCell ref="B56:C56"/>
    <mergeCell ref="E56:F56"/>
    <mergeCell ref="B57:C57"/>
    <mergeCell ref="E57:F57"/>
    <mergeCell ref="B58:C58"/>
    <mergeCell ref="E58:F58"/>
    <mergeCell ref="B59:C59"/>
    <mergeCell ref="E59:F59"/>
    <mergeCell ref="B60:C60"/>
    <mergeCell ref="E60:F60"/>
    <mergeCell ref="B61:C61"/>
    <mergeCell ref="E61:F61"/>
  </mergeCells>
  <dataValidations count="3">
    <dataValidation allowBlank="true" error="The entered date is in the future or is not in the dd/mm/yyyy format" errorTitle="Invalid Date" operator="lessThanOrEqual" showDropDown="false" showErrorMessage="true" showInputMessage="true" sqref="D6:D61" type="none">
      <formula1>0</formula1>
      <formula2>0</formula2>
    </dataValidation>
    <dataValidation allowBlank="true" operator="between" showDropDown="false" showErrorMessage="true" showInputMessage="true" sqref="H6:H61" type="list">
      <formula1>Payment_Type</formula1>
      <formula2>0</formula2>
    </dataValidation>
    <dataValidation allowBlank="true" operator="between" showDropDown="false" showErrorMessage="true" showInputMessage="true" sqref="E6:E61" type="list">
      <formula1>CURRENCY</formula1>
      <formula2>0</formula2>
    </dataValidation>
  </dataValidations>
  <printOptions headings="false" gridLines="false" gridLinesSet="true" horizontalCentered="false" verticalCentered="false"/>
  <pageMargins left="0.7" right="0.7" top="0.75" bottom="0.75" header="0.511805555555555" footer="0.3"/>
  <pageSetup paperSize="1"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&amp;LRESTRICTED</oddFooter>
  </headerFooter>
  <drawing r:id="rId1"/>
</worksheet>
</file>

<file path=xl/worksheets/sheet5.xml><?xml version="1.0" encoding="utf-8"?>
<worksheet xmlns="http://schemas.openxmlformats.org/spreadsheetml/2006/main" xmlns:r="http://schemas.openxmlformats.org/officeDocument/2006/relationships">
  <sheetPr filterMode="false">
    <pageSetUpPr fitToPage="true"/>
  </sheetPr>
  <dimension ref="B1:L194"/>
  <sheetViews>
    <sheetView windowProtection="false" showFormulas="false" showGridLines="false" showRowColHeaders="false" showZeros="true" rightToLeft="false" tabSelected="false" showOutlineSymbols="true" defaultGridColor="true" view="normal" topLeftCell="A1" colorId="64" zoomScale="100" zoomScaleNormal="100" zoomScalePageLayoutView="100" workbookViewId="0">
      <selection pane="topLeft" activeCell="E7" activeCellId="0" sqref="E7"/>
    </sheetView>
  </sheetViews>
  <sheetFormatPr defaultRowHeight="15"/>
  <cols>
    <col collapsed="false" hidden="false" max="2" min="1" style="0" width="3.64372469635628"/>
    <col collapsed="false" hidden="false" max="4" min="3" style="0" width="8.57085020242915"/>
    <col collapsed="false" hidden="false" max="5" min="5" style="0" width="10.2834008097166"/>
    <col collapsed="false" hidden="false" max="6" min="6" style="0" width="13.2834008097166"/>
    <col collapsed="false" hidden="false" max="7" min="7" style="0" width="8.03238866396761"/>
    <col collapsed="false" hidden="false" max="8" min="8" style="0" width="12.8542510121458"/>
    <col collapsed="false" hidden="false" max="9" min="9" style="0" width="13.2834008097166"/>
    <col collapsed="false" hidden="false" max="10" min="10" style="0" width="13.9271255060729"/>
    <col collapsed="false" hidden="false" max="11" min="11" style="0" width="13.3886639676113"/>
    <col collapsed="false" hidden="false" max="12" min="12" style="0" width="3.8582995951417"/>
    <col collapsed="false" hidden="false" max="13" min="13" style="0" width="3.64372469635628"/>
    <col collapsed="false" hidden="false" max="1025" min="14" style="0" width="8.57085020242915"/>
  </cols>
  <sheetData>
    <row r="1" customFormat="false" ht="15" hidden="false" customHeight="true" outlineLevel="0" collapsed="false"/>
    <row r="2" customFormat="false" ht="8.25" hidden="false" customHeight="true" outlineLevel="0" collapsed="false">
      <c r="B2" s="15"/>
      <c r="C2" s="16"/>
      <c r="D2" s="16"/>
      <c r="E2" s="16"/>
      <c r="F2" s="16"/>
      <c r="G2" s="16"/>
      <c r="H2" s="16"/>
      <c r="I2" s="16"/>
      <c r="J2" s="16"/>
      <c r="K2" s="17" t="n">
        <v>2</v>
      </c>
      <c r="L2" s="17"/>
    </row>
    <row r="3" customFormat="false" ht="15.75" hidden="false" customHeight="false" outlineLevel="0" collapsed="false">
      <c r="B3" s="18"/>
      <c r="C3" s="19" t="s">
        <v>76</v>
      </c>
      <c r="D3" s="19"/>
      <c r="E3" s="19"/>
      <c r="F3" s="19"/>
      <c r="G3" s="19"/>
      <c r="H3" s="19"/>
      <c r="I3" s="19"/>
      <c r="J3" s="19"/>
      <c r="K3" s="17"/>
      <c r="L3" s="17"/>
    </row>
    <row r="4" customFormat="false" ht="15.75" hidden="false" customHeight="false" outlineLevel="0" collapsed="false">
      <c r="B4" s="18"/>
      <c r="C4" s="20"/>
      <c r="D4" s="11"/>
      <c r="E4" s="11"/>
      <c r="F4" s="11"/>
      <c r="G4" s="20" t="s">
        <v>11</v>
      </c>
      <c r="H4" s="11"/>
      <c r="I4" s="11"/>
      <c r="J4" s="11"/>
      <c r="K4" s="11"/>
      <c r="L4" s="21"/>
    </row>
    <row r="5" customFormat="false" ht="15.75" hidden="false" customHeight="false" outlineLevel="0" collapsed="false">
      <c r="B5" s="18"/>
      <c r="C5" s="11"/>
      <c r="D5" s="11"/>
      <c r="E5" s="11"/>
      <c r="F5" s="11"/>
      <c r="G5" s="11"/>
      <c r="H5" s="11"/>
      <c r="I5" s="11"/>
      <c r="J5" s="20" t="s">
        <v>12</v>
      </c>
      <c r="K5" s="22" t="n">
        <v>1</v>
      </c>
      <c r="L5" s="21"/>
    </row>
    <row r="6" customFormat="false" ht="15.75" hidden="false" customHeight="false" outlineLevel="0" collapsed="false">
      <c r="B6" s="18"/>
      <c r="C6" s="11"/>
      <c r="D6" s="11"/>
      <c r="E6" s="11"/>
      <c r="F6" s="11"/>
      <c r="G6" s="11"/>
      <c r="H6" s="11"/>
      <c r="I6" s="11"/>
      <c r="J6" s="11"/>
      <c r="K6" s="11"/>
      <c r="L6" s="21"/>
    </row>
    <row r="7" customFormat="false" ht="15.75" hidden="false" customHeight="false" outlineLevel="0" collapsed="false">
      <c r="B7" s="18"/>
      <c r="C7" s="23" t="s">
        <v>13</v>
      </c>
      <c r="D7" s="23"/>
      <c r="E7" s="24"/>
      <c r="F7" s="24"/>
      <c r="G7" s="20"/>
      <c r="H7" s="20" t="s">
        <v>14</v>
      </c>
      <c r="I7" s="24"/>
      <c r="J7" s="24"/>
      <c r="K7" s="20"/>
      <c r="L7" s="21"/>
    </row>
    <row r="8" customFormat="false" ht="15.75" hidden="false" customHeight="false" outlineLevel="0" collapsed="false">
      <c r="B8" s="18"/>
      <c r="C8" s="23" t="s">
        <v>15</v>
      </c>
      <c r="D8" s="23"/>
      <c r="E8" s="24"/>
      <c r="F8" s="24"/>
      <c r="G8" s="20"/>
      <c r="H8" s="25" t="s">
        <v>16</v>
      </c>
      <c r="I8" s="24"/>
      <c r="J8" s="24"/>
      <c r="K8" s="20"/>
      <c r="L8" s="21"/>
    </row>
    <row r="9" customFormat="false" ht="15.75" hidden="false" customHeight="false" outlineLevel="0" collapsed="false">
      <c r="B9" s="18"/>
      <c r="C9" s="23" t="s">
        <v>17</v>
      </c>
      <c r="D9" s="23"/>
      <c r="E9" s="24"/>
      <c r="F9" s="24"/>
      <c r="G9" s="20"/>
      <c r="H9" s="20" t="s">
        <v>18</v>
      </c>
      <c r="I9" s="20"/>
      <c r="J9" s="20"/>
      <c r="K9" s="20"/>
      <c r="L9" s="21"/>
    </row>
    <row r="10" customFormat="false" ht="15.75" hidden="false" customHeight="false" outlineLevel="0" collapsed="false">
      <c r="B10" s="18"/>
      <c r="C10" s="23" t="s">
        <v>77</v>
      </c>
      <c r="D10" s="23"/>
      <c r="E10" s="112"/>
      <c r="F10" s="112"/>
      <c r="G10" s="20"/>
      <c r="H10" s="20" t="s">
        <v>78</v>
      </c>
      <c r="I10" s="22" t="n">
        <v>1</v>
      </c>
      <c r="J10" s="20" t="s">
        <v>79</v>
      </c>
      <c r="K10" s="22" t="n">
        <v>1</v>
      </c>
      <c r="L10" s="21"/>
    </row>
    <row r="11" customFormat="false" ht="9" hidden="false" customHeight="true" outlineLevel="0" collapsed="false">
      <c r="B11" s="18"/>
      <c r="C11" s="11"/>
      <c r="D11" s="11"/>
      <c r="E11" s="30"/>
      <c r="F11" s="30"/>
      <c r="G11" s="11"/>
      <c r="H11" s="11"/>
      <c r="I11" s="11"/>
      <c r="J11" s="11"/>
      <c r="K11" s="11"/>
      <c r="L11" s="21"/>
    </row>
    <row r="12" customFormat="false" ht="7.5" hidden="false" customHeight="true" outlineLevel="0" collapsed="false">
      <c r="B12" s="31"/>
      <c r="C12" s="32"/>
      <c r="D12" s="32"/>
      <c r="E12" s="33"/>
      <c r="F12" s="33"/>
      <c r="G12" s="32"/>
      <c r="H12" s="32"/>
      <c r="I12" s="32"/>
      <c r="J12" s="32"/>
      <c r="K12" s="32"/>
      <c r="L12" s="34"/>
    </row>
    <row r="13" customFormat="false" ht="27" hidden="false" customHeight="true" outlineLevel="0" collapsed="false">
      <c r="B13" s="18"/>
      <c r="C13" s="113" t="s">
        <v>80</v>
      </c>
      <c r="D13" s="113"/>
      <c r="E13" s="24"/>
      <c r="F13" s="24"/>
      <c r="G13" s="20"/>
      <c r="H13" s="114" t="s">
        <v>81</v>
      </c>
      <c r="I13" s="24"/>
      <c r="J13" s="24"/>
      <c r="K13" s="24"/>
      <c r="L13" s="38"/>
    </row>
    <row r="14" customFormat="false" ht="7.5" hidden="false" customHeight="true" outlineLevel="0" collapsed="false">
      <c r="B14" s="39"/>
      <c r="C14" s="40"/>
      <c r="D14" s="41"/>
      <c r="E14" s="42"/>
      <c r="F14" s="42"/>
      <c r="G14" s="41"/>
      <c r="H14" s="40"/>
      <c r="I14" s="43"/>
      <c r="J14" s="43"/>
      <c r="K14" s="43"/>
      <c r="L14" s="44"/>
    </row>
    <row r="15" customFormat="false" ht="7.5" hidden="false" customHeight="true" outlineLevel="0" collapsed="false">
      <c r="B15" s="18"/>
      <c r="C15" s="36"/>
      <c r="D15" s="11"/>
      <c r="E15" s="30"/>
      <c r="F15" s="30"/>
      <c r="G15" s="11"/>
      <c r="H15" s="36"/>
      <c r="I15" s="45"/>
      <c r="J15" s="45"/>
      <c r="K15" s="45"/>
      <c r="L15" s="38"/>
    </row>
    <row r="16" customFormat="false" ht="15" hidden="false" customHeight="false" outlineLevel="0" collapsed="false">
      <c r="B16" s="18"/>
      <c r="C16" s="46" t="s">
        <v>26</v>
      </c>
      <c r="D16" s="46"/>
      <c r="E16" s="46"/>
      <c r="F16" s="46"/>
      <c r="G16" s="46"/>
      <c r="H16" s="46"/>
      <c r="I16" s="46"/>
      <c r="J16" s="46"/>
      <c r="K16" s="46"/>
      <c r="L16" s="47"/>
    </row>
    <row r="17" customFormat="false" ht="15" hidden="false" customHeight="false" outlineLevel="0" collapsed="false">
      <c r="B17" s="18"/>
      <c r="C17" s="46"/>
      <c r="D17" s="46"/>
      <c r="E17" s="46"/>
      <c r="F17" s="46"/>
      <c r="G17" s="46"/>
      <c r="H17" s="46"/>
      <c r="I17" s="46"/>
      <c r="J17" s="46"/>
      <c r="K17" s="46"/>
      <c r="L17" s="47"/>
    </row>
    <row r="18" customFormat="false" ht="15" hidden="false" customHeight="false" outlineLevel="0" collapsed="false">
      <c r="B18" s="18"/>
      <c r="C18" s="48" t="s">
        <v>27</v>
      </c>
      <c r="D18" s="48"/>
      <c r="E18" s="48"/>
      <c r="F18" s="48"/>
      <c r="G18" s="48"/>
      <c r="H18" s="46"/>
      <c r="I18" s="46"/>
      <c r="J18" s="46"/>
      <c r="K18" s="46"/>
      <c r="L18" s="47"/>
    </row>
    <row r="19" customFormat="false" ht="15" hidden="false" customHeight="false" outlineLevel="0" collapsed="false">
      <c r="B19" s="18"/>
      <c r="C19" s="48"/>
      <c r="D19" s="46"/>
      <c r="E19" s="46"/>
      <c r="F19" s="46"/>
      <c r="G19" s="46"/>
      <c r="H19" s="46"/>
      <c r="I19" s="46"/>
      <c r="J19" s="46"/>
      <c r="K19" s="46"/>
      <c r="L19" s="47"/>
    </row>
    <row r="20" customFormat="false" ht="15" hidden="false" customHeight="false" outlineLevel="0" collapsed="false">
      <c r="B20" s="18"/>
      <c r="C20" s="20"/>
      <c r="D20" s="20"/>
      <c r="E20" s="20"/>
      <c r="F20" s="20"/>
      <c r="G20" s="20"/>
      <c r="H20" s="49" t="s">
        <v>28</v>
      </c>
      <c r="I20" s="49"/>
      <c r="J20" s="49" t="s">
        <v>29</v>
      </c>
      <c r="K20" s="20"/>
      <c r="L20" s="21"/>
    </row>
    <row r="21" customFormat="false" ht="15" hidden="false" customHeight="false" outlineLevel="0" collapsed="false">
      <c r="B21" s="18"/>
      <c r="C21" s="20"/>
      <c r="D21" s="49" t="s">
        <v>30</v>
      </c>
      <c r="E21" s="49"/>
      <c r="F21" s="49"/>
      <c r="G21" s="49"/>
      <c r="H21" s="115"/>
      <c r="I21" s="115"/>
      <c r="J21" s="51" t="n">
        <f aca="false">SUM('Dom Advance'!G6:G61)</f>
        <v>0</v>
      </c>
      <c r="K21" s="20"/>
      <c r="L21" s="21"/>
    </row>
    <row r="22" customFormat="false" ht="15" hidden="false" customHeight="false" outlineLevel="0" collapsed="false">
      <c r="B22" s="18"/>
      <c r="C22" s="20"/>
      <c r="D22" s="52"/>
      <c r="E22" s="52"/>
      <c r="F22" s="52"/>
      <c r="G22" s="20"/>
      <c r="H22" s="20"/>
      <c r="I22" s="20"/>
      <c r="J22" s="20"/>
      <c r="K22" s="20"/>
      <c r="L22" s="21"/>
    </row>
    <row r="23" customFormat="false" ht="15" hidden="false" customHeight="false" outlineLevel="0" collapsed="false">
      <c r="B23" s="18"/>
      <c r="C23" s="48" t="s">
        <v>31</v>
      </c>
      <c r="D23" s="48"/>
      <c r="E23" s="48"/>
      <c r="F23" s="48"/>
      <c r="G23" s="48"/>
      <c r="H23" s="20"/>
      <c r="I23" s="20"/>
      <c r="J23" s="20"/>
      <c r="K23" s="20"/>
      <c r="L23" s="21"/>
    </row>
    <row r="24" customFormat="false" ht="15" hidden="false" customHeight="false" outlineLevel="0" collapsed="false">
      <c r="B24" s="18"/>
      <c r="C24" s="20"/>
      <c r="D24" s="52"/>
      <c r="E24" s="52"/>
      <c r="F24" s="52"/>
      <c r="G24" s="20"/>
      <c r="H24" s="20"/>
      <c r="I24" s="20"/>
      <c r="J24" s="20"/>
      <c r="K24" s="20"/>
      <c r="L24" s="21"/>
    </row>
    <row r="25" customFormat="false" ht="15" hidden="false" customHeight="false" outlineLevel="0" collapsed="false">
      <c r="B25" s="18"/>
      <c r="C25" s="20"/>
      <c r="D25" s="20"/>
      <c r="E25" s="20"/>
      <c r="F25" s="20"/>
      <c r="G25" s="20"/>
      <c r="H25" s="53" t="s">
        <v>28</v>
      </c>
      <c r="I25" s="53"/>
      <c r="J25" s="53" t="s">
        <v>29</v>
      </c>
      <c r="K25" s="20"/>
      <c r="L25" s="21"/>
    </row>
    <row r="26" customFormat="false" ht="15" hidden="false" customHeight="false" outlineLevel="0" collapsed="false">
      <c r="B26" s="18"/>
      <c r="C26" s="20"/>
      <c r="D26" s="53" t="s">
        <v>32</v>
      </c>
      <c r="E26" s="53"/>
      <c r="F26" s="53"/>
      <c r="G26" s="53"/>
      <c r="H26" s="54"/>
      <c r="I26" s="54"/>
      <c r="J26" s="55" t="n">
        <f aca="false">SUM('Dom Expense'!G6:G61)</f>
        <v>0</v>
      </c>
      <c r="K26" s="20"/>
      <c r="L26" s="21"/>
    </row>
    <row r="27" customFormat="false" ht="15" hidden="false" customHeight="false" outlineLevel="0" collapsed="false">
      <c r="B27" s="18"/>
      <c r="C27" s="20"/>
      <c r="D27" s="56"/>
      <c r="E27" s="56"/>
      <c r="F27" s="56"/>
      <c r="G27" s="56"/>
      <c r="H27" s="116"/>
      <c r="I27" s="116"/>
      <c r="J27" s="20"/>
      <c r="K27" s="20"/>
      <c r="L27" s="21"/>
    </row>
    <row r="28" customFormat="false" ht="15" hidden="false" customHeight="false" outlineLevel="0" collapsed="false">
      <c r="B28" s="18"/>
      <c r="C28" s="48" t="s">
        <v>82</v>
      </c>
      <c r="D28" s="48"/>
      <c r="E28" s="48"/>
      <c r="F28" s="48"/>
      <c r="G28" s="48"/>
      <c r="H28" s="20"/>
      <c r="I28" s="20"/>
      <c r="J28" s="20"/>
      <c r="K28" s="20"/>
      <c r="L28" s="21"/>
    </row>
    <row r="29" customFormat="false" ht="15" hidden="false" customHeight="false" outlineLevel="0" collapsed="false">
      <c r="B29" s="18"/>
      <c r="C29" s="48"/>
      <c r="I29" s="20"/>
      <c r="J29" s="20"/>
      <c r="K29" s="20"/>
      <c r="L29" s="21"/>
    </row>
    <row r="30" customFormat="false" ht="15" hidden="false" customHeight="false" outlineLevel="0" collapsed="false">
      <c r="B30" s="18"/>
      <c r="C30" s="48"/>
      <c r="D30" s="116" t="s">
        <v>83</v>
      </c>
      <c r="E30" s="116"/>
      <c r="F30" s="116"/>
      <c r="G30" s="116"/>
      <c r="H30" s="95"/>
      <c r="I30" s="95"/>
      <c r="J30" s="95"/>
      <c r="K30" s="20"/>
      <c r="L30" s="21"/>
    </row>
    <row r="31" customFormat="false" ht="15" hidden="true" customHeight="false" outlineLevel="0" collapsed="false">
      <c r="B31" s="18"/>
      <c r="C31" s="48"/>
      <c r="D31" s="116"/>
      <c r="E31" s="116"/>
      <c r="F31" s="116"/>
      <c r="G31" s="116"/>
      <c r="H31" s="116"/>
      <c r="I31" s="116"/>
      <c r="J31" s="116"/>
      <c r="K31" s="20"/>
      <c r="L31" s="21"/>
    </row>
    <row r="32" customFormat="false" ht="15" hidden="true" customHeight="false" outlineLevel="0" collapsed="false">
      <c r="B32" s="18"/>
      <c r="C32" s="48"/>
      <c r="D32" s="93" t="s">
        <v>84</v>
      </c>
      <c r="E32" s="93"/>
      <c r="F32" s="93"/>
      <c r="G32" s="93"/>
      <c r="H32" s="71" t="s">
        <v>85</v>
      </c>
      <c r="I32" s="71" t="s">
        <v>86</v>
      </c>
      <c r="J32" s="71" t="s">
        <v>87</v>
      </c>
      <c r="K32" s="20"/>
      <c r="L32" s="21"/>
    </row>
    <row r="33" customFormat="false" ht="15" hidden="true" customHeight="false" outlineLevel="0" collapsed="false">
      <c r="B33" s="18"/>
      <c r="C33" s="48"/>
      <c r="D33" s="117" t="s">
        <v>88</v>
      </c>
      <c r="E33" s="117"/>
      <c r="F33" s="117"/>
      <c r="G33" s="117"/>
      <c r="H33" s="96"/>
      <c r="I33" s="96" t="str">
        <f aca="false">IF(LEN(H30)&gt;0,0.2*H30,"")</f>
        <v/>
      </c>
      <c r="J33" s="96" t="str">
        <f aca="false">IF(LEN(H33)&gt;0,H33*I33,"")</f>
        <v/>
      </c>
      <c r="K33" s="20"/>
      <c r="L33" s="21"/>
    </row>
    <row r="34" customFormat="false" ht="15" hidden="true" customHeight="false" outlineLevel="0" collapsed="false">
      <c r="B34" s="18"/>
      <c r="C34" s="48"/>
      <c r="D34" s="117" t="s">
        <v>89</v>
      </c>
      <c r="E34" s="117"/>
      <c r="F34" s="117"/>
      <c r="G34" s="117"/>
      <c r="H34" s="96"/>
      <c r="I34" s="96" t="str">
        <f aca="false">IF(LEN(H30)&gt;0,0.4*H30,"")</f>
        <v/>
      </c>
      <c r="J34" s="96" t="str">
        <f aca="false">IF(LEN(H34)&gt;0,H34*I34,"")</f>
        <v/>
      </c>
      <c r="K34" s="20"/>
      <c r="L34" s="21"/>
    </row>
    <row r="35" customFormat="false" ht="15" hidden="false" customHeight="false" outlineLevel="0" collapsed="false">
      <c r="B35" s="18"/>
      <c r="C35" s="20"/>
      <c r="D35" s="52"/>
      <c r="E35" s="52"/>
      <c r="F35" s="52"/>
      <c r="G35" s="20"/>
      <c r="H35" s="20"/>
      <c r="I35" s="20"/>
      <c r="J35" s="20"/>
      <c r="K35" s="20"/>
      <c r="L35" s="21"/>
    </row>
    <row r="36" customFormat="false" ht="15" hidden="false" customHeight="false" outlineLevel="0" collapsed="false">
      <c r="B36" s="18"/>
      <c r="C36" s="20"/>
      <c r="D36" s="20"/>
      <c r="E36" s="20"/>
      <c r="F36" s="20"/>
      <c r="G36" s="20"/>
      <c r="H36" s="118" t="s">
        <v>28</v>
      </c>
      <c r="I36" s="118"/>
      <c r="J36" s="118" t="s">
        <v>29</v>
      </c>
      <c r="K36" s="20"/>
      <c r="L36" s="21"/>
    </row>
    <row r="37" customFormat="false" ht="15" hidden="false" customHeight="false" outlineLevel="0" collapsed="false">
      <c r="B37" s="18"/>
      <c r="C37" s="20"/>
      <c r="D37" s="118" t="s">
        <v>90</v>
      </c>
      <c r="E37" s="118"/>
      <c r="F37" s="118"/>
      <c r="G37" s="118"/>
      <c r="H37" s="119"/>
      <c r="I37" s="119"/>
      <c r="J37" s="120" t="n">
        <v>0</v>
      </c>
      <c r="K37" s="20"/>
      <c r="L37" s="21"/>
    </row>
    <row r="38" customFormat="false" ht="15" hidden="false" customHeight="false" outlineLevel="0" collapsed="false">
      <c r="B38" s="18"/>
      <c r="C38" s="20"/>
      <c r="D38" s="56"/>
      <c r="E38" s="56"/>
      <c r="F38" s="56"/>
      <c r="G38" s="56"/>
      <c r="H38" s="20"/>
      <c r="I38" s="20"/>
      <c r="J38" s="20"/>
      <c r="K38" s="20"/>
      <c r="L38" s="21"/>
    </row>
    <row r="39" customFormat="false" ht="15" hidden="false" customHeight="false" outlineLevel="0" collapsed="false">
      <c r="B39" s="31"/>
      <c r="C39" s="57" t="s">
        <v>33</v>
      </c>
      <c r="D39" s="58"/>
      <c r="E39" s="58"/>
      <c r="F39" s="58"/>
      <c r="G39" s="58"/>
      <c r="H39" s="32"/>
      <c r="I39" s="32"/>
      <c r="J39" s="32"/>
      <c r="K39" s="32"/>
      <c r="L39" s="34"/>
    </row>
    <row r="40" customFormat="false" ht="15" hidden="false" customHeight="false" outlineLevel="0" collapsed="false">
      <c r="B40" s="18"/>
      <c r="C40" s="11"/>
      <c r="D40" s="11"/>
      <c r="E40" s="11"/>
      <c r="F40" s="11"/>
      <c r="G40" s="11"/>
      <c r="H40" s="59" t="s">
        <v>28</v>
      </c>
      <c r="I40" s="59"/>
      <c r="J40" s="59" t="s">
        <v>29</v>
      </c>
      <c r="K40" s="11"/>
      <c r="L40" s="21"/>
    </row>
    <row r="41" customFormat="false" ht="15" hidden="false" customHeight="false" outlineLevel="0" collapsed="false">
      <c r="B41" s="18"/>
      <c r="C41" s="20"/>
      <c r="D41" s="59" t="s">
        <v>34</v>
      </c>
      <c r="E41" s="59"/>
      <c r="F41" s="59"/>
      <c r="G41" s="59"/>
      <c r="H41" s="60" t="str">
        <f aca="false">IF(LEN(H21)&gt;0,H21,"")</f>
        <v/>
      </c>
      <c r="I41" s="60"/>
      <c r="J41" s="61" t="n">
        <f aca="false">IF(LEN(J21)&gt;0,J21,"")</f>
        <v>0</v>
      </c>
      <c r="K41" s="20"/>
      <c r="L41" s="21"/>
    </row>
    <row r="42" customFormat="false" ht="15" hidden="false" customHeight="false" outlineLevel="0" collapsed="false">
      <c r="B42" s="18"/>
      <c r="C42" s="20"/>
      <c r="D42" s="59" t="s">
        <v>91</v>
      </c>
      <c r="E42" s="59"/>
      <c r="F42" s="59"/>
      <c r="G42" s="59"/>
      <c r="H42" s="60" t="str">
        <f aca="false">IF(LEN(H26)&gt;0,H26,"")</f>
        <v/>
      </c>
      <c r="I42" s="60"/>
      <c r="J42" s="61" t="n">
        <f aca="false">IF(LEN(J26)&gt;0,J26,"")</f>
        <v>0</v>
      </c>
      <c r="K42" s="20"/>
      <c r="L42" s="21"/>
    </row>
    <row r="43" customFormat="false" ht="15" hidden="false" customHeight="false" outlineLevel="0" collapsed="false">
      <c r="B43" s="18"/>
      <c r="C43" s="20"/>
      <c r="D43" s="59" t="str">
        <f aca="false">IF(J41&gt;J42,"Total Payable by Employee (A) - (B) + (C)","Total Payable by HSDI (A) - (B) + (C)")</f>
        <v>Total Payable by HSDI (A) - (B) + (C)</v>
      </c>
      <c r="E43" s="59"/>
      <c r="F43" s="59"/>
      <c r="G43" s="59"/>
      <c r="H43" s="60" t="str">
        <f aca="false">IF(H41=H42,H41,"Adv. &amp; Exp. Currency don't match")</f>
        <v/>
      </c>
      <c r="I43" s="60"/>
      <c r="J43" s="61" t="n">
        <f aca="false">IF(AND(LEN(J41)&gt;0,LEN(J42)&gt;0),IF(I43&lt;&gt;"Please enter a currency",ABS(J41-J42+J37),"Please enter the amount"),"")</f>
        <v>0</v>
      </c>
      <c r="K43" s="20"/>
      <c r="L43" s="21"/>
    </row>
    <row r="44" customFormat="false" ht="15" hidden="false" customHeight="false" outlineLevel="0" collapsed="false">
      <c r="B44" s="39"/>
      <c r="C44" s="41"/>
      <c r="D44" s="41"/>
      <c r="E44" s="41"/>
      <c r="F44" s="41"/>
      <c r="G44" s="41"/>
      <c r="H44" s="41"/>
      <c r="I44" s="41"/>
      <c r="J44" s="41"/>
      <c r="K44" s="41"/>
      <c r="L44" s="62"/>
    </row>
    <row r="45" customFormat="false" ht="15" hidden="false" customHeight="false" outlineLevel="0" collapsed="false">
      <c r="B45" s="18"/>
      <c r="C45" s="63" t="s">
        <v>35</v>
      </c>
      <c r="D45" s="63"/>
      <c r="E45" s="20"/>
      <c r="F45" s="20"/>
      <c r="G45" s="20"/>
      <c r="H45" s="20"/>
      <c r="I45" s="20"/>
      <c r="J45" s="20"/>
      <c r="K45" s="20"/>
      <c r="L45" s="21"/>
    </row>
    <row r="46" customFormat="false" ht="16.5" hidden="false" customHeight="true" outlineLevel="0" collapsed="false">
      <c r="B46" s="18"/>
      <c r="C46" s="20"/>
      <c r="D46" s="121" t="s">
        <v>92</v>
      </c>
      <c r="E46" s="121"/>
      <c r="F46" s="121"/>
      <c r="G46" s="121"/>
      <c r="H46" s="121"/>
      <c r="I46" s="121"/>
      <c r="J46" s="121"/>
      <c r="K46" s="121"/>
      <c r="L46" s="21"/>
    </row>
    <row r="47" customFormat="false" ht="16.5" hidden="false" customHeight="true" outlineLevel="0" collapsed="false">
      <c r="B47" s="18"/>
      <c r="C47" s="20"/>
      <c r="D47" s="121"/>
      <c r="E47" s="121"/>
      <c r="F47" s="121"/>
      <c r="G47" s="121"/>
      <c r="H47" s="121"/>
      <c r="I47" s="121"/>
      <c r="J47" s="121"/>
      <c r="K47" s="121"/>
      <c r="L47" s="21"/>
    </row>
    <row r="48" customFormat="false" ht="35.25" hidden="false" customHeight="true" outlineLevel="0" collapsed="false">
      <c r="B48" s="18"/>
      <c r="C48" s="20"/>
      <c r="D48" s="20"/>
      <c r="E48" s="20"/>
      <c r="F48" s="20"/>
      <c r="G48" s="20"/>
      <c r="H48" s="20"/>
      <c r="I48" s="20"/>
      <c r="J48" s="20"/>
      <c r="K48" s="20"/>
      <c r="L48" s="21"/>
    </row>
    <row r="49" customFormat="false" ht="15" hidden="false" customHeight="false" outlineLevel="0" collapsed="false">
      <c r="B49" s="18"/>
      <c r="C49" s="20"/>
      <c r="D49" s="20"/>
      <c r="E49" s="20"/>
      <c r="H49" s="20"/>
      <c r="I49" s="41"/>
      <c r="J49" s="41"/>
      <c r="L49" s="21"/>
    </row>
    <row r="50" customFormat="false" ht="15" hidden="false" customHeight="false" outlineLevel="0" collapsed="false">
      <c r="B50" s="18"/>
      <c r="C50" s="69" t="s">
        <v>37</v>
      </c>
      <c r="D50" s="69"/>
      <c r="E50" s="69"/>
      <c r="H50" s="70"/>
      <c r="I50" s="70" t="s">
        <v>93</v>
      </c>
      <c r="J50" s="70"/>
      <c r="L50" s="21"/>
    </row>
    <row r="51" customFormat="false" ht="15" hidden="false" customHeight="false" outlineLevel="0" collapsed="false">
      <c r="B51" s="18"/>
      <c r="C51" s="20" t="s">
        <v>39</v>
      </c>
      <c r="D51" s="20"/>
      <c r="E51" s="20" t="str">
        <f aca="false">IF(LEN(E7)&gt;0,E7,"")</f>
        <v/>
      </c>
      <c r="H51" s="20"/>
      <c r="I51" s="20" t="s">
        <v>40</v>
      </c>
      <c r="J51" s="20"/>
      <c r="L51" s="21"/>
    </row>
    <row r="52" customFormat="false" ht="15" hidden="false" customHeight="false" outlineLevel="0" collapsed="false">
      <c r="B52" s="18"/>
      <c r="C52" s="20" t="s">
        <v>41</v>
      </c>
      <c r="D52" s="20"/>
      <c r="E52" s="20"/>
      <c r="F52" s="20"/>
      <c r="G52" s="20"/>
      <c r="H52" s="20"/>
      <c r="I52" s="20" t="s">
        <v>41</v>
      </c>
      <c r="J52" s="20"/>
      <c r="K52" s="20"/>
      <c r="L52" s="21"/>
    </row>
    <row r="53" customFormat="false" ht="35.25" hidden="false" customHeight="true" outlineLevel="0" collapsed="false">
      <c r="B53" s="18"/>
      <c r="C53" s="20"/>
      <c r="D53" s="20"/>
      <c r="E53" s="20"/>
      <c r="F53" s="20"/>
      <c r="G53" s="20"/>
      <c r="H53" s="20"/>
      <c r="I53" s="20"/>
      <c r="J53" s="20"/>
      <c r="K53" s="20"/>
      <c r="L53" s="21"/>
    </row>
    <row r="54" customFormat="false" ht="15" hidden="false" customHeight="false" outlineLevel="0" collapsed="false">
      <c r="B54" s="18"/>
      <c r="C54" s="20"/>
      <c r="D54" s="20"/>
      <c r="E54" s="20"/>
      <c r="F54" s="20"/>
      <c r="G54" s="20"/>
      <c r="H54" s="20"/>
      <c r="I54" s="41"/>
      <c r="J54" s="41"/>
      <c r="K54" s="20"/>
      <c r="L54" s="21"/>
    </row>
    <row r="55" customFormat="false" ht="15" hidden="false" customHeight="false" outlineLevel="0" collapsed="false">
      <c r="B55" s="18"/>
      <c r="C55" s="69" t="s">
        <v>42</v>
      </c>
      <c r="D55" s="69"/>
      <c r="E55" s="69"/>
      <c r="F55" s="20"/>
      <c r="G55" s="20"/>
      <c r="H55" s="20"/>
      <c r="I55" s="70" t="s">
        <v>43</v>
      </c>
      <c r="J55" s="70"/>
      <c r="K55" s="70"/>
      <c r="L55" s="21"/>
    </row>
    <row r="56" customFormat="false" ht="15" hidden="false" customHeight="false" outlineLevel="0" collapsed="false">
      <c r="B56" s="18"/>
      <c r="C56" s="20" t="s">
        <v>41</v>
      </c>
      <c r="D56" s="20"/>
      <c r="E56" s="20"/>
      <c r="F56" s="20"/>
      <c r="G56" s="20"/>
      <c r="H56" s="20"/>
      <c r="I56" s="23" t="s">
        <v>41</v>
      </c>
      <c r="J56" s="23"/>
      <c r="K56" s="23"/>
      <c r="L56" s="21"/>
    </row>
    <row r="57" customFormat="false" ht="15" hidden="false" customHeight="false" outlineLevel="0" collapsed="false">
      <c r="B57" s="18"/>
      <c r="C57" s="20"/>
      <c r="D57" s="20"/>
      <c r="E57" s="20"/>
      <c r="F57" s="20"/>
      <c r="G57" s="20"/>
      <c r="H57" s="20"/>
      <c r="I57" s="20"/>
      <c r="J57" s="20"/>
      <c r="K57" s="20"/>
      <c r="L57" s="21"/>
    </row>
    <row r="58" customFormat="false" ht="15" hidden="false" customHeight="false" outlineLevel="0" collapsed="false">
      <c r="B58" s="31"/>
      <c r="C58" s="57" t="s">
        <v>44</v>
      </c>
      <c r="D58" s="32"/>
      <c r="E58" s="32"/>
      <c r="F58" s="32"/>
      <c r="G58" s="32"/>
      <c r="H58" s="32"/>
      <c r="I58" s="32"/>
      <c r="J58" s="32"/>
      <c r="K58" s="32"/>
      <c r="L58" s="34"/>
    </row>
    <row r="59" customFormat="false" ht="15" hidden="false" customHeight="false" outlineLevel="0" collapsed="false">
      <c r="B59" s="18"/>
      <c r="C59" s="71" t="n">
        <v>1</v>
      </c>
      <c r="D59" s="72" t="s">
        <v>45</v>
      </c>
      <c r="E59" s="72"/>
      <c r="F59" s="71" t="str">
        <f aca="false">IF(IFERROR(VLOOKUP("Hotel Costs",'Dom Expense'!B6:C61,1,0),"Not Required")="Not Required","Not Required","Required")</f>
        <v>Not Required</v>
      </c>
      <c r="G59" s="20"/>
      <c r="H59" s="20"/>
      <c r="I59" s="20"/>
      <c r="J59" s="20"/>
      <c r="K59" s="20"/>
      <c r="L59" s="21"/>
    </row>
    <row r="60" customFormat="false" ht="15" hidden="false" customHeight="false" outlineLevel="0" collapsed="false">
      <c r="B60" s="18"/>
      <c r="C60" s="71" t="n">
        <v>2</v>
      </c>
      <c r="D60" s="72" t="s">
        <v>46</v>
      </c>
      <c r="E60" s="72"/>
      <c r="F60" s="71" t="str">
        <f aca="false">IF(IFERROR(VLOOKUP("Car / Taxi / Train Fare",'Dom Expense'!B6:C61,1,0),"Not Required")="Not Required","Not Required","Required")</f>
        <v>Not Required</v>
      </c>
      <c r="G60" s="20"/>
      <c r="H60" s="20"/>
      <c r="I60" s="20"/>
      <c r="J60" s="20"/>
      <c r="K60" s="20"/>
      <c r="L60" s="21"/>
    </row>
    <row r="61" customFormat="false" ht="15" hidden="false" customHeight="false" outlineLevel="0" collapsed="false">
      <c r="B61" s="18"/>
      <c r="C61" s="71" t="n">
        <v>3</v>
      </c>
      <c r="D61" s="72" t="s">
        <v>49</v>
      </c>
      <c r="E61" s="72"/>
      <c r="F61" s="71" t="str">
        <f aca="false">IF(IFERROR(VLOOKUP("Miscellaneous",'Dom Expense'!B6:C61,1,0),"Not Required")="Not Required","Not Required","Required")</f>
        <v>Not Required</v>
      </c>
      <c r="G61" s="20"/>
      <c r="H61" s="20"/>
      <c r="I61" s="20"/>
      <c r="J61" s="20"/>
      <c r="K61" s="20"/>
      <c r="L61" s="21"/>
    </row>
    <row r="62" customFormat="false" ht="25.5" hidden="false" customHeight="true" outlineLevel="0" collapsed="false">
      <c r="B62" s="18"/>
      <c r="C62" s="20"/>
      <c r="D62" s="20"/>
      <c r="E62" s="20"/>
      <c r="F62" s="20"/>
      <c r="G62" s="20"/>
      <c r="H62" s="20"/>
      <c r="I62" s="20"/>
      <c r="J62" s="20"/>
      <c r="K62" s="20"/>
      <c r="L62" s="21"/>
    </row>
    <row r="63" customFormat="false" ht="15" hidden="false" customHeight="false" outlineLevel="0" collapsed="false">
      <c r="B63" s="18"/>
      <c r="C63" s="36" t="s">
        <v>50</v>
      </c>
      <c r="D63" s="20"/>
      <c r="E63" s="20"/>
      <c r="F63" s="20"/>
      <c r="G63" s="20"/>
      <c r="H63" s="20"/>
      <c r="I63" s="20"/>
      <c r="J63" s="20"/>
      <c r="K63" s="20"/>
      <c r="L63" s="21"/>
    </row>
    <row r="64" customFormat="false" ht="15" hidden="false" customHeight="false" outlineLevel="0" collapsed="false">
      <c r="B64" s="18"/>
      <c r="C64" s="73" t="n">
        <v>1</v>
      </c>
      <c r="D64" s="74" t="s">
        <v>94</v>
      </c>
      <c r="E64" s="74"/>
      <c r="F64" s="74"/>
      <c r="G64" s="74"/>
      <c r="H64" s="74"/>
      <c r="I64" s="74"/>
      <c r="J64" s="74"/>
      <c r="K64" s="74"/>
      <c r="L64" s="21"/>
    </row>
    <row r="65" customFormat="false" ht="33.75" hidden="false" customHeight="true" outlineLevel="0" collapsed="false">
      <c r="B65" s="18"/>
      <c r="C65" s="73" t="n">
        <v>2</v>
      </c>
      <c r="D65" s="75" t="s">
        <v>95</v>
      </c>
      <c r="E65" s="75"/>
      <c r="F65" s="75"/>
      <c r="G65" s="75"/>
      <c r="H65" s="75"/>
      <c r="I65" s="75"/>
      <c r="J65" s="75"/>
      <c r="K65" s="75"/>
      <c r="L65" s="21"/>
    </row>
    <row r="66" customFormat="false" ht="27" hidden="false" customHeight="true" outlineLevel="0" collapsed="false">
      <c r="B66" s="18"/>
      <c r="C66" s="20"/>
      <c r="D66" s="122"/>
      <c r="E66" s="122"/>
      <c r="F66" s="122"/>
      <c r="G66" s="122"/>
      <c r="H66" s="122"/>
      <c r="I66" s="122"/>
      <c r="J66" s="122"/>
      <c r="K66" s="122"/>
      <c r="L66" s="21"/>
    </row>
    <row r="67" customFormat="false" ht="9" hidden="false" customHeight="true" outlineLevel="0" collapsed="false">
      <c r="B67" s="76"/>
      <c r="C67" s="77" t="s">
        <v>55</v>
      </c>
      <c r="D67" s="78"/>
      <c r="E67" s="78"/>
      <c r="F67" s="78"/>
      <c r="G67" s="78"/>
      <c r="H67" s="79"/>
      <c r="I67" s="79"/>
      <c r="J67" s="79"/>
      <c r="K67" s="79"/>
      <c r="L67" s="80"/>
    </row>
    <row r="68" customFormat="false" ht="15" hidden="true" customHeight="false" outlineLevel="0" collapsed="false">
      <c r="B68" s="15"/>
      <c r="C68" s="81"/>
      <c r="D68" s="81"/>
      <c r="E68" s="81"/>
      <c r="F68" s="81"/>
      <c r="G68" s="81"/>
      <c r="H68" s="81"/>
      <c r="I68" s="81"/>
      <c r="J68" s="81"/>
      <c r="K68" s="81"/>
      <c r="L68" s="82"/>
    </row>
    <row r="69" customFormat="false" ht="15" hidden="false" customHeight="false" outlineLevel="0" collapsed="false">
      <c r="B69" s="18"/>
      <c r="C69" s="52" t="s">
        <v>96</v>
      </c>
      <c r="D69" s="52"/>
      <c r="E69" s="52"/>
      <c r="F69" s="52"/>
      <c r="G69" s="52"/>
      <c r="H69" s="52"/>
      <c r="I69" s="52"/>
      <c r="J69" s="52"/>
      <c r="K69" s="52"/>
      <c r="L69" s="21"/>
    </row>
    <row r="70" customFormat="false" ht="15" hidden="false" customHeight="true" outlineLevel="0" collapsed="false">
      <c r="B70" s="18"/>
      <c r="C70" s="123" t="s">
        <v>57</v>
      </c>
      <c r="D70" s="11"/>
      <c r="E70" s="11"/>
      <c r="F70" s="11"/>
      <c r="G70" s="11"/>
      <c r="H70" s="11"/>
      <c r="I70" s="11"/>
      <c r="J70" s="11"/>
      <c r="K70" s="11"/>
      <c r="L70" s="21"/>
    </row>
    <row r="71" customFormat="false" ht="15" hidden="false" customHeight="true" outlineLevel="0" collapsed="false">
      <c r="B71" s="18"/>
      <c r="C71" s="123"/>
      <c r="D71" s="11"/>
      <c r="E71" s="11"/>
      <c r="F71" s="11"/>
      <c r="G71" s="11"/>
      <c r="H71" s="11"/>
      <c r="I71" s="11"/>
      <c r="J71" s="11"/>
      <c r="K71" s="11"/>
      <c r="L71" s="21"/>
    </row>
    <row r="72" customFormat="false" ht="15" hidden="false" customHeight="false" outlineLevel="0" collapsed="false">
      <c r="B72" s="18"/>
      <c r="C72" s="11"/>
      <c r="D72" s="91" t="s">
        <v>58</v>
      </c>
      <c r="E72" s="92" t="s">
        <v>59</v>
      </c>
      <c r="F72" s="92"/>
      <c r="G72" s="92"/>
      <c r="H72" s="93" t="s">
        <v>28</v>
      </c>
      <c r="I72" s="93"/>
      <c r="J72" s="93" t="s">
        <v>29</v>
      </c>
      <c r="K72" s="11"/>
      <c r="L72" s="21"/>
    </row>
    <row r="73" customFormat="false" ht="15" hidden="false" customHeight="false" outlineLevel="0" collapsed="false">
      <c r="B73" s="18"/>
      <c r="C73" s="11"/>
      <c r="D73" s="124" t="n">
        <v>1</v>
      </c>
      <c r="E73" s="125"/>
      <c r="F73" s="125"/>
      <c r="G73" s="125"/>
      <c r="H73" s="95" t="s">
        <v>97</v>
      </c>
      <c r="I73" s="95"/>
      <c r="J73" s="96"/>
      <c r="K73" s="11"/>
      <c r="L73" s="21"/>
    </row>
    <row r="74" customFormat="false" ht="15" hidden="false" customHeight="false" outlineLevel="0" collapsed="false">
      <c r="B74" s="18"/>
      <c r="C74" s="11"/>
      <c r="D74" s="124" t="n">
        <v>2</v>
      </c>
      <c r="E74" s="125"/>
      <c r="F74" s="125"/>
      <c r="G74" s="125"/>
      <c r="H74" s="95" t="s">
        <v>97</v>
      </c>
      <c r="I74" s="95"/>
      <c r="J74" s="96"/>
      <c r="K74" s="11"/>
      <c r="L74" s="21"/>
    </row>
    <row r="75" customFormat="false" ht="15" hidden="false" customHeight="false" outlineLevel="0" collapsed="false">
      <c r="B75" s="18"/>
      <c r="C75" s="11"/>
      <c r="D75" s="20"/>
      <c r="E75" s="20"/>
      <c r="F75" s="20"/>
      <c r="G75" s="20"/>
      <c r="H75" s="20"/>
      <c r="I75" s="20"/>
      <c r="J75" s="11"/>
      <c r="K75" s="11"/>
      <c r="L75" s="21"/>
    </row>
    <row r="76" customFormat="false" ht="15" hidden="true" customHeight="false" outlineLevel="0" collapsed="false">
      <c r="B76" s="18"/>
      <c r="K76" s="20"/>
      <c r="L76" s="21"/>
    </row>
    <row r="77" customFormat="false" ht="15" hidden="true" customHeight="true" outlineLevel="0" collapsed="false">
      <c r="B77" s="18"/>
      <c r="K77" s="11"/>
      <c r="L77" s="21"/>
    </row>
    <row r="78" customFormat="false" ht="15" hidden="true" customHeight="true" outlineLevel="0" collapsed="false">
      <c r="B78" s="18"/>
      <c r="K78" s="11"/>
      <c r="L78" s="21"/>
    </row>
    <row r="79" customFormat="false" ht="15" hidden="true" customHeight="false" outlineLevel="0" collapsed="false">
      <c r="B79" s="18"/>
      <c r="K79" s="11"/>
      <c r="L79" s="21"/>
    </row>
    <row r="80" customFormat="false" ht="15" hidden="true" customHeight="false" outlineLevel="0" collapsed="false">
      <c r="B80" s="18"/>
      <c r="K80" s="11"/>
      <c r="L80" s="21"/>
    </row>
    <row r="81" customFormat="false" ht="15" hidden="true" customHeight="false" outlineLevel="0" collapsed="false">
      <c r="B81" s="18"/>
      <c r="K81" s="11"/>
      <c r="L81" s="21"/>
    </row>
    <row r="82" customFormat="false" ht="15" hidden="true" customHeight="false" outlineLevel="0" collapsed="false">
      <c r="B82" s="18"/>
      <c r="K82" s="11"/>
      <c r="L82" s="21"/>
    </row>
    <row r="83" customFormat="false" ht="15" hidden="true" customHeight="false" outlineLevel="0" collapsed="false">
      <c r="B83" s="18"/>
      <c r="K83" s="11"/>
      <c r="L83" s="21"/>
    </row>
    <row r="84" customFormat="false" ht="15" hidden="true" customHeight="false" outlineLevel="0" collapsed="false">
      <c r="B84" s="18"/>
      <c r="K84" s="11"/>
      <c r="L84" s="21"/>
    </row>
    <row r="85" customFormat="false" ht="15" hidden="true" customHeight="false" outlineLevel="0" collapsed="false">
      <c r="B85" s="18"/>
      <c r="K85" s="11"/>
      <c r="L85" s="21"/>
    </row>
    <row r="86" customFormat="false" ht="15" hidden="true" customHeight="false" outlineLevel="0" collapsed="false">
      <c r="B86" s="18"/>
      <c r="K86" s="11"/>
      <c r="L86" s="21"/>
    </row>
    <row r="87" customFormat="false" ht="15" hidden="true" customHeight="false" outlineLevel="0" collapsed="false">
      <c r="B87" s="18"/>
      <c r="K87" s="11"/>
      <c r="L87" s="21"/>
    </row>
    <row r="88" customFormat="false" ht="15" hidden="true" customHeight="false" outlineLevel="0" collapsed="false">
      <c r="B88" s="18"/>
      <c r="K88" s="11"/>
      <c r="L88" s="21"/>
    </row>
    <row r="89" customFormat="false" ht="15" hidden="true" customHeight="false" outlineLevel="0" collapsed="false">
      <c r="B89" s="18"/>
      <c r="K89" s="11"/>
      <c r="L89" s="21"/>
    </row>
    <row r="90" customFormat="false" ht="15" hidden="true" customHeight="false" outlineLevel="0" collapsed="false">
      <c r="B90" s="18"/>
      <c r="K90" s="11"/>
      <c r="L90" s="21"/>
    </row>
    <row r="91" customFormat="false" ht="15" hidden="true" customHeight="false" outlineLevel="0" collapsed="false">
      <c r="B91" s="18"/>
      <c r="K91" s="11"/>
      <c r="L91" s="21"/>
    </row>
    <row r="92" customFormat="false" ht="15" hidden="true" customHeight="false" outlineLevel="0" collapsed="false">
      <c r="B92" s="18"/>
      <c r="K92" s="11"/>
      <c r="L92" s="21"/>
    </row>
    <row r="93" customFormat="false" ht="15" hidden="true" customHeight="false" outlineLevel="0" collapsed="false">
      <c r="B93" s="18"/>
      <c r="K93" s="11"/>
      <c r="L93" s="21"/>
    </row>
    <row r="94" customFormat="false" ht="15" hidden="true" customHeight="false" outlineLevel="0" collapsed="false">
      <c r="B94" s="18"/>
      <c r="K94" s="11"/>
      <c r="L94" s="21"/>
    </row>
    <row r="95" customFormat="false" ht="15" hidden="true" customHeight="false" outlineLevel="0" collapsed="false">
      <c r="B95" s="18"/>
      <c r="K95" s="11"/>
      <c r="L95" s="21"/>
    </row>
    <row r="96" customFormat="false" ht="15" hidden="true" customHeight="false" outlineLevel="0" collapsed="false">
      <c r="B96" s="18"/>
      <c r="K96" s="11"/>
      <c r="L96" s="21"/>
    </row>
    <row r="97" customFormat="false" ht="15" hidden="true" customHeight="false" outlineLevel="0" collapsed="false">
      <c r="B97" s="18"/>
      <c r="K97" s="11"/>
      <c r="L97" s="21"/>
    </row>
    <row r="98" customFormat="false" ht="15" hidden="true" customHeight="false" outlineLevel="0" collapsed="false">
      <c r="B98" s="18"/>
      <c r="K98" s="11"/>
      <c r="L98" s="21"/>
    </row>
    <row r="99" customFormat="false" ht="15" hidden="true" customHeight="false" outlineLevel="0" collapsed="false">
      <c r="B99" s="18"/>
      <c r="K99" s="11"/>
      <c r="L99" s="21"/>
    </row>
    <row r="100" customFormat="false" ht="15" hidden="true" customHeight="false" outlineLevel="0" collapsed="false">
      <c r="B100" s="18"/>
      <c r="K100" s="11"/>
      <c r="L100" s="21"/>
    </row>
    <row r="101" customFormat="false" ht="15" hidden="true" customHeight="false" outlineLevel="0" collapsed="false">
      <c r="B101" s="18"/>
      <c r="K101" s="11"/>
      <c r="L101" s="21"/>
    </row>
    <row r="102" customFormat="false" ht="15" hidden="true" customHeight="false" outlineLevel="0" collapsed="false">
      <c r="B102" s="18"/>
      <c r="K102" s="11"/>
      <c r="L102" s="21"/>
    </row>
    <row r="103" customFormat="false" ht="15" hidden="true" customHeight="false" outlineLevel="0" collapsed="false">
      <c r="B103" s="18"/>
      <c r="K103" s="11"/>
      <c r="L103" s="21"/>
    </row>
    <row r="104" customFormat="false" ht="15" hidden="true" customHeight="false" outlineLevel="0" collapsed="false">
      <c r="B104" s="18"/>
      <c r="K104" s="11"/>
      <c r="L104" s="21"/>
    </row>
    <row r="105" customFormat="false" ht="15" hidden="true" customHeight="false" outlineLevel="0" collapsed="false">
      <c r="B105" s="18"/>
      <c r="K105" s="11"/>
      <c r="L105" s="21"/>
    </row>
    <row r="106" customFormat="false" ht="15" hidden="true" customHeight="false" outlineLevel="0" collapsed="false">
      <c r="B106" s="18"/>
      <c r="K106" s="11"/>
      <c r="L106" s="21"/>
    </row>
    <row r="107" customFormat="false" ht="15" hidden="true" customHeight="false" outlineLevel="0" collapsed="false">
      <c r="B107" s="18"/>
      <c r="K107" s="11"/>
      <c r="L107" s="21"/>
    </row>
    <row r="108" customFormat="false" ht="15" hidden="true" customHeight="false" outlineLevel="0" collapsed="false">
      <c r="B108" s="18"/>
      <c r="K108" s="11"/>
      <c r="L108" s="21"/>
    </row>
    <row r="109" customFormat="false" ht="15" hidden="true" customHeight="false" outlineLevel="0" collapsed="false">
      <c r="B109" s="18"/>
      <c r="K109" s="11"/>
      <c r="L109" s="21"/>
    </row>
    <row r="110" customFormat="false" ht="15" hidden="true" customHeight="false" outlineLevel="0" collapsed="false">
      <c r="B110" s="18"/>
      <c r="K110" s="11"/>
      <c r="L110" s="21"/>
    </row>
    <row r="111" customFormat="false" ht="15" hidden="true" customHeight="false" outlineLevel="0" collapsed="false">
      <c r="B111" s="18"/>
      <c r="K111" s="11"/>
      <c r="L111" s="21"/>
    </row>
    <row r="112" customFormat="false" ht="15" hidden="true" customHeight="false" outlineLevel="0" collapsed="false">
      <c r="B112" s="18"/>
      <c r="K112" s="11"/>
      <c r="L112" s="21"/>
    </row>
    <row r="113" customFormat="false" ht="15" hidden="true" customHeight="false" outlineLevel="0" collapsed="false">
      <c r="B113" s="18"/>
      <c r="K113" s="11"/>
      <c r="L113" s="21"/>
    </row>
    <row r="114" customFormat="false" ht="15" hidden="true" customHeight="false" outlineLevel="0" collapsed="false">
      <c r="B114" s="18"/>
      <c r="K114" s="11"/>
      <c r="L114" s="21"/>
    </row>
    <row r="115" customFormat="false" ht="15" hidden="true" customHeight="false" outlineLevel="0" collapsed="false">
      <c r="B115" s="18"/>
      <c r="K115" s="11"/>
      <c r="L115" s="21"/>
    </row>
    <row r="116" customFormat="false" ht="15" hidden="true" customHeight="false" outlineLevel="0" collapsed="false">
      <c r="B116" s="18"/>
      <c r="K116" s="11"/>
      <c r="L116" s="21"/>
    </row>
    <row r="117" customFormat="false" ht="15" hidden="true" customHeight="false" outlineLevel="0" collapsed="false">
      <c r="B117" s="18"/>
      <c r="K117" s="11"/>
      <c r="L117" s="21"/>
    </row>
    <row r="118" customFormat="false" ht="15" hidden="true" customHeight="false" outlineLevel="0" collapsed="false">
      <c r="B118" s="18"/>
      <c r="K118" s="11"/>
      <c r="L118" s="21"/>
    </row>
    <row r="119" customFormat="false" ht="15" hidden="true" customHeight="false" outlineLevel="0" collapsed="false">
      <c r="B119" s="18"/>
      <c r="K119" s="11"/>
      <c r="L119" s="21"/>
    </row>
    <row r="120" customFormat="false" ht="15" hidden="true" customHeight="false" outlineLevel="0" collapsed="false">
      <c r="B120" s="18"/>
      <c r="K120" s="11"/>
      <c r="L120" s="21"/>
    </row>
    <row r="121" customFormat="false" ht="15" hidden="true" customHeight="false" outlineLevel="0" collapsed="false">
      <c r="B121" s="18"/>
      <c r="K121" s="11"/>
      <c r="L121" s="21"/>
    </row>
    <row r="122" customFormat="false" ht="15" hidden="true" customHeight="false" outlineLevel="0" collapsed="false">
      <c r="B122" s="18"/>
      <c r="K122" s="11"/>
      <c r="L122" s="21"/>
    </row>
    <row r="123" customFormat="false" ht="15" hidden="true" customHeight="false" outlineLevel="0" collapsed="false">
      <c r="B123" s="18"/>
      <c r="K123" s="11"/>
      <c r="L123" s="21"/>
    </row>
    <row r="124" customFormat="false" ht="15" hidden="true" customHeight="false" outlineLevel="0" collapsed="false">
      <c r="B124" s="18"/>
      <c r="K124" s="11"/>
      <c r="L124" s="21"/>
    </row>
    <row r="125" customFormat="false" ht="15" hidden="true" customHeight="false" outlineLevel="0" collapsed="false">
      <c r="B125" s="18"/>
      <c r="K125" s="11"/>
      <c r="L125" s="21"/>
    </row>
    <row r="126" customFormat="false" ht="15" hidden="true" customHeight="false" outlineLevel="0" collapsed="false">
      <c r="B126" s="18"/>
      <c r="K126" s="11"/>
      <c r="L126" s="21"/>
    </row>
    <row r="127" customFormat="false" ht="15" hidden="true" customHeight="false" outlineLevel="0" collapsed="false">
      <c r="B127" s="18"/>
      <c r="K127" s="11"/>
      <c r="L127" s="21"/>
    </row>
    <row r="128" customFormat="false" ht="15" hidden="true" customHeight="false" outlineLevel="0" collapsed="false">
      <c r="B128" s="18"/>
      <c r="K128" s="11"/>
      <c r="L128" s="21"/>
    </row>
    <row r="129" customFormat="false" ht="15" hidden="true" customHeight="false" outlineLevel="0" collapsed="false">
      <c r="B129" s="18"/>
      <c r="K129" s="11"/>
      <c r="L129" s="21"/>
    </row>
    <row r="130" customFormat="false" ht="15" hidden="true" customHeight="false" outlineLevel="0" collapsed="false">
      <c r="B130" s="18"/>
      <c r="K130" s="11"/>
      <c r="L130" s="21"/>
    </row>
    <row r="131" customFormat="false" ht="15" hidden="true" customHeight="false" outlineLevel="0" collapsed="false">
      <c r="B131" s="18"/>
      <c r="K131" s="11"/>
      <c r="L131" s="21"/>
    </row>
    <row r="132" customFormat="false" ht="15" hidden="true" customHeight="false" outlineLevel="0" collapsed="false">
      <c r="B132" s="18"/>
      <c r="K132" s="11"/>
      <c r="L132" s="21"/>
    </row>
    <row r="133" customFormat="false" ht="15" hidden="true" customHeight="false" outlineLevel="0" collapsed="false">
      <c r="B133" s="18"/>
      <c r="K133" s="11"/>
      <c r="L133" s="21"/>
    </row>
    <row r="134" customFormat="false" ht="15" hidden="true" customHeight="false" outlineLevel="0" collapsed="false">
      <c r="B134" s="18"/>
      <c r="K134" s="11"/>
      <c r="L134" s="21"/>
    </row>
    <row r="135" customFormat="false" ht="15" hidden="true" customHeight="false" outlineLevel="0" collapsed="false">
      <c r="B135" s="18"/>
      <c r="K135" s="11"/>
      <c r="L135" s="21"/>
    </row>
    <row r="136" customFormat="false" ht="15" hidden="true" customHeight="false" outlineLevel="0" collapsed="false">
      <c r="B136" s="18"/>
      <c r="K136" s="11"/>
      <c r="L136" s="21"/>
    </row>
    <row r="137" customFormat="false" ht="15" hidden="true" customHeight="false" outlineLevel="0" collapsed="false">
      <c r="B137" s="18"/>
      <c r="K137" s="11"/>
      <c r="L137" s="21"/>
    </row>
    <row r="138" customFormat="false" ht="15" hidden="false" customHeight="false" outlineLevel="0" collapsed="false">
      <c r="B138" s="18"/>
      <c r="K138" s="11"/>
      <c r="L138" s="21"/>
    </row>
    <row r="139" customFormat="false" ht="15" hidden="true" customHeight="false" outlineLevel="0" collapsed="false">
      <c r="B139" s="18"/>
      <c r="K139" s="101" t="s">
        <v>67</v>
      </c>
      <c r="L139" s="21"/>
    </row>
    <row r="140" customFormat="false" ht="24.75" hidden="true" customHeight="true" outlineLevel="0" collapsed="false">
      <c r="B140" s="18"/>
      <c r="K140" s="102"/>
      <c r="L140" s="21"/>
    </row>
    <row r="141" customFormat="false" ht="24.75" hidden="true" customHeight="true" outlineLevel="0" collapsed="false">
      <c r="B141" s="18"/>
      <c r="K141" s="126"/>
      <c r="L141" s="21"/>
    </row>
    <row r="142" customFormat="false" ht="15" hidden="true" customHeight="false" outlineLevel="0" collapsed="false">
      <c r="B142" s="18"/>
      <c r="K142" s="126"/>
      <c r="L142" s="21"/>
    </row>
    <row r="143" customFormat="false" ht="15" hidden="true" customHeight="false" outlineLevel="0" collapsed="false">
      <c r="B143" s="18"/>
      <c r="K143" s="11"/>
      <c r="L143" s="21"/>
    </row>
    <row r="144" customFormat="false" ht="15" hidden="true" customHeight="false" outlineLevel="0" collapsed="false">
      <c r="B144" s="18"/>
      <c r="K144" s="11"/>
      <c r="L144" s="21"/>
    </row>
    <row r="145" customFormat="false" ht="15" hidden="true" customHeight="false" outlineLevel="0" collapsed="false">
      <c r="B145" s="18"/>
      <c r="K145" s="11"/>
      <c r="L145" s="21"/>
    </row>
    <row r="146" customFormat="false" ht="15" hidden="true" customHeight="false" outlineLevel="0" collapsed="false">
      <c r="B146" s="18"/>
      <c r="K146" s="11"/>
      <c r="L146" s="21"/>
    </row>
    <row r="147" customFormat="false" ht="15" hidden="true" customHeight="false" outlineLevel="0" collapsed="false">
      <c r="B147" s="18"/>
      <c r="K147" s="11"/>
      <c r="L147" s="21"/>
    </row>
    <row r="148" customFormat="false" ht="15" hidden="true" customHeight="false" outlineLevel="0" collapsed="false">
      <c r="B148" s="18"/>
      <c r="K148" s="11"/>
      <c r="L148" s="21"/>
    </row>
    <row r="149" customFormat="false" ht="15" hidden="true" customHeight="false" outlineLevel="0" collapsed="false">
      <c r="B149" s="18"/>
      <c r="K149" s="11"/>
      <c r="L149" s="21"/>
    </row>
    <row r="150" customFormat="false" ht="15" hidden="true" customHeight="false" outlineLevel="0" collapsed="false">
      <c r="B150" s="18"/>
      <c r="K150" s="11"/>
      <c r="L150" s="21"/>
    </row>
    <row r="151" customFormat="false" ht="15" hidden="true" customHeight="false" outlineLevel="0" collapsed="false">
      <c r="B151" s="18"/>
      <c r="K151" s="11"/>
      <c r="L151" s="21"/>
    </row>
    <row r="152" customFormat="false" ht="15" hidden="true" customHeight="false" outlineLevel="0" collapsed="false">
      <c r="B152" s="18"/>
      <c r="K152" s="11"/>
      <c r="L152" s="21"/>
    </row>
    <row r="153" customFormat="false" ht="15" hidden="true" customHeight="false" outlineLevel="0" collapsed="false">
      <c r="B153" s="18"/>
      <c r="K153" s="11"/>
      <c r="L153" s="21"/>
    </row>
    <row r="154" customFormat="false" ht="15" hidden="true" customHeight="false" outlineLevel="0" collapsed="false">
      <c r="B154" s="18"/>
      <c r="K154" s="11"/>
      <c r="L154" s="21"/>
    </row>
    <row r="155" customFormat="false" ht="15" hidden="true" customHeight="false" outlineLevel="0" collapsed="false">
      <c r="B155" s="18"/>
      <c r="K155" s="11"/>
      <c r="L155" s="21"/>
    </row>
    <row r="156" customFormat="false" ht="15" hidden="true" customHeight="false" outlineLevel="0" collapsed="false">
      <c r="B156" s="18"/>
      <c r="K156" s="11"/>
      <c r="L156" s="21"/>
    </row>
    <row r="157" customFormat="false" ht="15" hidden="true" customHeight="false" outlineLevel="0" collapsed="false">
      <c r="B157" s="18"/>
      <c r="K157" s="11"/>
      <c r="L157" s="21"/>
    </row>
    <row r="158" customFormat="false" ht="15" hidden="true" customHeight="false" outlineLevel="0" collapsed="false">
      <c r="B158" s="18"/>
      <c r="K158" s="11"/>
      <c r="L158" s="21"/>
    </row>
    <row r="159" customFormat="false" ht="15" hidden="true" customHeight="false" outlineLevel="0" collapsed="false">
      <c r="B159" s="18"/>
      <c r="K159" s="11"/>
      <c r="L159" s="21"/>
    </row>
    <row r="160" customFormat="false" ht="15" hidden="true" customHeight="false" outlineLevel="0" collapsed="false">
      <c r="B160" s="18"/>
      <c r="K160" s="11"/>
      <c r="L160" s="21"/>
    </row>
    <row r="161" customFormat="false" ht="15" hidden="true" customHeight="false" outlineLevel="0" collapsed="false">
      <c r="B161" s="18"/>
      <c r="K161" s="11"/>
      <c r="L161" s="21"/>
    </row>
    <row r="162" customFormat="false" ht="15" hidden="true" customHeight="false" outlineLevel="0" collapsed="false">
      <c r="B162" s="18"/>
      <c r="K162" s="11"/>
      <c r="L162" s="21"/>
    </row>
    <row r="163" customFormat="false" ht="15" hidden="true" customHeight="false" outlineLevel="0" collapsed="false">
      <c r="B163" s="18"/>
      <c r="K163" s="11"/>
      <c r="L163" s="21"/>
    </row>
    <row r="164" customFormat="false" ht="15" hidden="true" customHeight="false" outlineLevel="0" collapsed="false">
      <c r="B164" s="18"/>
      <c r="K164" s="11"/>
      <c r="L164" s="21"/>
    </row>
    <row r="165" customFormat="false" ht="15" hidden="true" customHeight="false" outlineLevel="0" collapsed="false">
      <c r="B165" s="18"/>
      <c r="K165" s="11"/>
      <c r="L165" s="21"/>
    </row>
    <row r="166" customFormat="false" ht="15" hidden="true" customHeight="false" outlineLevel="0" collapsed="false">
      <c r="B166" s="18"/>
      <c r="K166" s="11"/>
      <c r="L166" s="21"/>
    </row>
    <row r="167" customFormat="false" ht="15" hidden="true" customHeight="false" outlineLevel="0" collapsed="false">
      <c r="B167" s="18"/>
      <c r="K167" s="11"/>
      <c r="L167" s="21"/>
    </row>
    <row r="168" customFormat="false" ht="15" hidden="true" customHeight="false" outlineLevel="0" collapsed="false">
      <c r="B168" s="18"/>
      <c r="K168" s="11"/>
      <c r="L168" s="21"/>
    </row>
    <row r="169" customFormat="false" ht="15" hidden="true" customHeight="false" outlineLevel="0" collapsed="false">
      <c r="B169" s="18"/>
      <c r="K169" s="11"/>
      <c r="L169" s="21"/>
    </row>
    <row r="170" customFormat="false" ht="15" hidden="true" customHeight="false" outlineLevel="0" collapsed="false">
      <c r="B170" s="18"/>
      <c r="K170" s="11"/>
      <c r="L170" s="21"/>
    </row>
    <row r="171" customFormat="false" ht="15" hidden="true" customHeight="false" outlineLevel="0" collapsed="false">
      <c r="B171" s="18"/>
      <c r="K171" s="11"/>
      <c r="L171" s="21"/>
    </row>
    <row r="172" customFormat="false" ht="15" hidden="true" customHeight="false" outlineLevel="0" collapsed="false">
      <c r="B172" s="18"/>
      <c r="K172" s="11"/>
      <c r="L172" s="21"/>
    </row>
    <row r="173" customFormat="false" ht="15" hidden="true" customHeight="false" outlineLevel="0" collapsed="false">
      <c r="B173" s="18"/>
      <c r="K173" s="11"/>
      <c r="L173" s="21"/>
    </row>
    <row r="174" customFormat="false" ht="15" hidden="true" customHeight="false" outlineLevel="0" collapsed="false">
      <c r="B174" s="18"/>
      <c r="K174" s="11"/>
      <c r="L174" s="21"/>
    </row>
    <row r="175" customFormat="false" ht="15" hidden="true" customHeight="false" outlineLevel="0" collapsed="false">
      <c r="B175" s="18"/>
      <c r="K175" s="11"/>
      <c r="L175" s="21"/>
    </row>
    <row r="176" customFormat="false" ht="15" hidden="true" customHeight="false" outlineLevel="0" collapsed="false">
      <c r="B176" s="18"/>
      <c r="K176" s="11"/>
      <c r="L176" s="21"/>
    </row>
    <row r="177" customFormat="false" ht="15" hidden="true" customHeight="false" outlineLevel="0" collapsed="false">
      <c r="B177" s="18"/>
      <c r="K177" s="11"/>
      <c r="L177" s="21"/>
    </row>
    <row r="178" customFormat="false" ht="15" hidden="true" customHeight="false" outlineLevel="0" collapsed="false">
      <c r="B178" s="18"/>
      <c r="K178" s="11"/>
      <c r="L178" s="21"/>
    </row>
    <row r="179" customFormat="false" ht="15" hidden="true" customHeight="false" outlineLevel="0" collapsed="false">
      <c r="B179" s="18"/>
      <c r="K179" s="11"/>
      <c r="L179" s="21"/>
    </row>
    <row r="180" customFormat="false" ht="15" hidden="true" customHeight="false" outlineLevel="0" collapsed="false">
      <c r="B180" s="18"/>
      <c r="K180" s="11"/>
      <c r="L180" s="21"/>
    </row>
    <row r="181" customFormat="false" ht="15" hidden="true" customHeight="false" outlineLevel="0" collapsed="false">
      <c r="B181" s="18"/>
      <c r="K181" s="11"/>
      <c r="L181" s="21"/>
    </row>
    <row r="182" customFormat="false" ht="15" hidden="true" customHeight="false" outlineLevel="0" collapsed="false">
      <c r="B182" s="18"/>
      <c r="K182" s="11"/>
      <c r="L182" s="21"/>
    </row>
    <row r="183" customFormat="false" ht="15" hidden="true" customHeight="false" outlineLevel="0" collapsed="false">
      <c r="B183" s="18"/>
      <c r="K183" s="11"/>
      <c r="L183" s="21"/>
    </row>
    <row r="184" customFormat="false" ht="15" hidden="true" customHeight="false" outlineLevel="0" collapsed="false">
      <c r="B184" s="18"/>
      <c r="K184" s="11"/>
      <c r="L184" s="21"/>
    </row>
    <row r="185" customFormat="false" ht="15" hidden="true" customHeight="false" outlineLevel="0" collapsed="false">
      <c r="B185" s="18"/>
      <c r="K185" s="11"/>
      <c r="L185" s="21"/>
    </row>
    <row r="186" customFormat="false" ht="15" hidden="true" customHeight="false" outlineLevel="0" collapsed="false">
      <c r="B186" s="18"/>
      <c r="K186" s="11"/>
      <c r="L186" s="21"/>
    </row>
    <row r="187" customFormat="false" ht="15" hidden="true" customHeight="false" outlineLevel="0" collapsed="false">
      <c r="B187" s="18"/>
      <c r="K187" s="11"/>
      <c r="L187" s="21"/>
    </row>
    <row r="188" customFormat="false" ht="15" hidden="true" customHeight="false" outlineLevel="0" collapsed="false">
      <c r="B188" s="18"/>
      <c r="K188" s="11"/>
      <c r="L188" s="21"/>
    </row>
    <row r="189" customFormat="false" ht="15" hidden="true" customHeight="false" outlineLevel="0" collapsed="false">
      <c r="B189" s="18"/>
      <c r="K189" s="11"/>
      <c r="L189" s="21"/>
    </row>
    <row r="190" customFormat="false" ht="15" hidden="true" customHeight="false" outlineLevel="0" collapsed="false">
      <c r="B190" s="18"/>
      <c r="K190" s="11"/>
      <c r="L190" s="21"/>
    </row>
    <row r="191" customFormat="false" ht="15" hidden="true" customHeight="false" outlineLevel="0" collapsed="false">
      <c r="B191" s="18"/>
      <c r="K191" s="11"/>
      <c r="L191" s="21"/>
    </row>
    <row r="192" customFormat="false" ht="15" hidden="true" customHeight="false" outlineLevel="0" collapsed="false">
      <c r="B192" s="18"/>
      <c r="K192" s="11"/>
      <c r="L192" s="21"/>
    </row>
    <row r="193" customFormat="false" ht="15" hidden="false" customHeight="false" outlineLevel="0" collapsed="false">
      <c r="B193" s="18"/>
      <c r="C193" s="11"/>
      <c r="D193" s="11"/>
      <c r="E193" s="11"/>
      <c r="F193" s="11"/>
      <c r="G193" s="11"/>
      <c r="H193" s="11"/>
      <c r="I193" s="11"/>
      <c r="J193" s="11"/>
      <c r="K193" s="11"/>
      <c r="L193" s="21"/>
    </row>
    <row r="194" customFormat="false" ht="15.75" hidden="false" customHeight="false" outlineLevel="0" collapsed="false">
      <c r="B194" s="76"/>
      <c r="C194" s="77" t="s">
        <v>55</v>
      </c>
      <c r="D194" s="78"/>
      <c r="E194" s="78"/>
      <c r="F194" s="103"/>
      <c r="G194" s="103"/>
      <c r="H194" s="103"/>
      <c r="I194" s="103"/>
      <c r="J194" s="103"/>
      <c r="K194" s="103"/>
      <c r="L194" s="80"/>
    </row>
  </sheetData>
  <sheetProtection sheet="true" scenarios="true" selectLockedCells="true"/>
  <mergeCells count="55">
    <mergeCell ref="K2:L3"/>
    <mergeCell ref="C3:J3"/>
    <mergeCell ref="C7:D7"/>
    <mergeCell ref="E7:F7"/>
    <mergeCell ref="I7:J7"/>
    <mergeCell ref="C8:D8"/>
    <mergeCell ref="E8:F8"/>
    <mergeCell ref="I8:J8"/>
    <mergeCell ref="C9:D9"/>
    <mergeCell ref="E9:F9"/>
    <mergeCell ref="C10:D10"/>
    <mergeCell ref="E10:F10"/>
    <mergeCell ref="C13:D13"/>
    <mergeCell ref="E13:F13"/>
    <mergeCell ref="I13:K13"/>
    <mergeCell ref="C16:K16"/>
    <mergeCell ref="C18:G18"/>
    <mergeCell ref="H20:I20"/>
    <mergeCell ref="D21:G21"/>
    <mergeCell ref="H21:I21"/>
    <mergeCell ref="C23:G23"/>
    <mergeCell ref="H25:I25"/>
    <mergeCell ref="D26:G26"/>
    <mergeCell ref="H26:I26"/>
    <mergeCell ref="C28:G28"/>
    <mergeCell ref="D30:G30"/>
    <mergeCell ref="H30:J30"/>
    <mergeCell ref="D32:G32"/>
    <mergeCell ref="D33:G33"/>
    <mergeCell ref="D34:G34"/>
    <mergeCell ref="H36:I36"/>
    <mergeCell ref="D37:G37"/>
    <mergeCell ref="H37:I37"/>
    <mergeCell ref="H40:I40"/>
    <mergeCell ref="D41:G41"/>
    <mergeCell ref="H41:I41"/>
    <mergeCell ref="D42:G42"/>
    <mergeCell ref="H42:I42"/>
    <mergeCell ref="D43:G43"/>
    <mergeCell ref="H43:I43"/>
    <mergeCell ref="C45:D45"/>
    <mergeCell ref="D46:K46"/>
    <mergeCell ref="I56:K56"/>
    <mergeCell ref="D59:E59"/>
    <mergeCell ref="D60:E60"/>
    <mergeCell ref="D61:E61"/>
    <mergeCell ref="D64:K64"/>
    <mergeCell ref="D65:K65"/>
    <mergeCell ref="C69:K69"/>
    <mergeCell ref="E72:G72"/>
    <mergeCell ref="H72:I72"/>
    <mergeCell ref="E73:G73"/>
    <mergeCell ref="H73:I73"/>
    <mergeCell ref="E74:G74"/>
    <mergeCell ref="H74:I74"/>
  </mergeCells>
  <dataValidations count="3">
    <dataValidation allowBlank="true" error="The entered date is in the future or is not in the dd/mm/yyyy format" errorTitle="Invalid Date" operator="lessThanOrEqual" showDropDown="false" showErrorMessage="true" showInputMessage="true" sqref="E77:E78 E140:E142" type="none">
      <formula1>0</formula1>
      <formula2>0</formula2>
    </dataValidation>
    <dataValidation allowBlank="true" operator="between" showDropDown="false" showErrorMessage="true" showInputMessage="true" sqref="H21 G22 H26:H27 H37:H39 H73:H74 F77:F78 F140:F142" type="list">
      <formula1>CURRENCY</formula1>
      <formula2>0</formula2>
    </dataValidation>
    <dataValidation allowBlank="true" operator="between" showDropDown="false" showErrorMessage="true" showInputMessage="true" sqref="E14:F15" type="list">
      <formula1>Banks</formula1>
      <formula2>0</formula2>
    </dataValidation>
  </dataValidations>
  <printOptions headings="false" gridLines="false" gridLinesSet="true" horizontalCentered="false" verticalCentered="false"/>
  <pageMargins left="0.7" right="0.7" top="0.75" bottom="0.75" header="0.511805555555555" footer="0.3"/>
  <pageSetup paperSize="9" scale="100" firstPageNumber="0" fitToWidth="1" fitToHeight="3" pageOrder="downThenOver" orientation="portrait" usePrinterDefaults="false" blackAndWhite="false" draft="false" cellComments="none" useFirstPageNumber="false" horizontalDpi="300" verticalDpi="300" copies="1"/>
  <headerFooter differentFirst="false" differentOddEven="false">
    <oddHeader/>
    <oddFooter>&amp;LRESTRICTED</oddFooter>
  </headerFooter>
  <drawing r:id="rId1"/>
</worksheet>
</file>

<file path=xl/worksheets/sheet6.xml><?xml version="1.0" encoding="utf-8"?>
<worksheet xmlns="http://schemas.openxmlformats.org/spreadsheetml/2006/main" xmlns:r="http://schemas.openxmlformats.org/officeDocument/2006/relationships">
  <sheetPr filterMode="false">
    <pageSetUpPr fitToPage="false"/>
  </sheetPr>
  <dimension ref="B4:G61"/>
  <sheetViews>
    <sheetView windowProtection="false" showFormulas="false" showGridLines="false" showRowColHeaders="false" showZeros="true" rightToLeft="false" tabSelected="false" showOutlineSymbols="true" defaultGridColor="true" view="normal" topLeftCell="A1" colorId="64" zoomScale="100" zoomScaleNormal="100" zoomScalePageLayoutView="100" workbookViewId="0">
      <selection pane="topLeft" activeCell="B5" activeCellId="0" sqref="B5"/>
    </sheetView>
  </sheetViews>
  <sheetFormatPr defaultRowHeight="15"/>
  <cols>
    <col collapsed="false" hidden="false" max="1" min="1" style="0" width="4.06882591093117"/>
    <col collapsed="false" hidden="false" max="2" min="2" style="0" width="11.6761133603239"/>
    <col collapsed="false" hidden="false" max="3" min="3" style="0" width="12.1052631578947"/>
    <col collapsed="false" hidden="false" max="4" min="4" style="0" width="17.8906882591093"/>
    <col collapsed="false" hidden="false" max="5" min="5" style="0" width="15.5303643724696"/>
    <col collapsed="false" hidden="false" max="1025" min="6" style="0" width="8.57085020242915"/>
  </cols>
  <sheetData>
    <row r="4" customFormat="false" ht="18.75" hidden="false" customHeight="false" outlineLevel="0" collapsed="false">
      <c r="B4" s="104" t="s">
        <v>68</v>
      </c>
      <c r="C4" s="104"/>
      <c r="D4" s="104"/>
      <c r="E4" s="104"/>
      <c r="F4" s="104"/>
      <c r="G4" s="104"/>
    </row>
    <row r="5" customFormat="false" ht="24.75" hidden="false" customHeight="true" outlineLevel="0" collapsed="false">
      <c r="B5" s="105" t="s">
        <v>69</v>
      </c>
      <c r="C5" s="105"/>
      <c r="D5" s="106" t="s">
        <v>70</v>
      </c>
      <c r="E5" s="105" t="s">
        <v>28</v>
      </c>
      <c r="F5" s="105"/>
      <c r="G5" s="105" t="s">
        <v>29</v>
      </c>
    </row>
    <row r="6" customFormat="false" ht="15" hidden="false" customHeight="true" outlineLevel="0" collapsed="false">
      <c r="B6" s="107"/>
      <c r="C6" s="107"/>
      <c r="D6" s="108"/>
      <c r="E6" s="109"/>
      <c r="F6" s="109"/>
      <c r="G6" s="102" t="n">
        <v>0</v>
      </c>
    </row>
    <row r="7" customFormat="false" ht="15" hidden="false" customHeight="false" outlineLevel="0" collapsed="false">
      <c r="B7" s="102"/>
      <c r="C7" s="102"/>
      <c r="D7" s="108"/>
      <c r="E7" s="102"/>
      <c r="F7" s="102"/>
      <c r="G7" s="102"/>
    </row>
    <row r="8" customFormat="false" ht="15" hidden="false" customHeight="true" outlineLevel="0" collapsed="false">
      <c r="B8" s="102"/>
      <c r="C8" s="102"/>
      <c r="D8" s="108"/>
      <c r="E8" s="102"/>
      <c r="F8" s="102"/>
      <c r="G8" s="102"/>
    </row>
    <row r="9" customFormat="false" ht="15" hidden="false" customHeight="true" outlineLevel="0" collapsed="false">
      <c r="B9" s="102"/>
      <c r="C9" s="102"/>
      <c r="D9" s="108"/>
      <c r="E9" s="102"/>
      <c r="F9" s="102"/>
      <c r="G9" s="102"/>
    </row>
    <row r="10" customFormat="false" ht="15" hidden="false" customHeight="true" outlineLevel="0" collapsed="false">
      <c r="B10" s="102"/>
      <c r="C10" s="102"/>
      <c r="D10" s="108"/>
      <c r="E10" s="102"/>
      <c r="F10" s="102"/>
      <c r="G10" s="102"/>
    </row>
    <row r="11" customFormat="false" ht="15" hidden="false" customHeight="true" outlineLevel="0" collapsed="false">
      <c r="B11" s="102"/>
      <c r="C11" s="102"/>
      <c r="D11" s="108"/>
      <c r="E11" s="102"/>
      <c r="F11" s="102"/>
      <c r="G11" s="102"/>
    </row>
    <row r="12" customFormat="false" ht="15" hidden="false" customHeight="true" outlineLevel="0" collapsed="false">
      <c r="B12" s="102"/>
      <c r="C12" s="102"/>
      <c r="D12" s="108"/>
      <c r="E12" s="102"/>
      <c r="F12" s="102"/>
      <c r="G12" s="102"/>
    </row>
    <row r="13" customFormat="false" ht="15" hidden="false" customHeight="true" outlineLevel="0" collapsed="false">
      <c r="B13" s="102"/>
      <c r="C13" s="102"/>
      <c r="D13" s="108"/>
      <c r="E13" s="102"/>
      <c r="F13" s="102"/>
      <c r="G13" s="102"/>
    </row>
    <row r="14" customFormat="false" ht="15" hidden="false" customHeight="true" outlineLevel="0" collapsed="false">
      <c r="B14" s="102"/>
      <c r="C14" s="102"/>
      <c r="D14" s="108"/>
      <c r="E14" s="102"/>
      <c r="F14" s="102"/>
      <c r="G14" s="102"/>
    </row>
    <row r="15" customFormat="false" ht="15" hidden="false" customHeight="true" outlineLevel="0" collapsed="false">
      <c r="B15" s="102"/>
      <c r="C15" s="102"/>
      <c r="D15" s="108"/>
      <c r="E15" s="102"/>
      <c r="F15" s="102"/>
      <c r="G15" s="102"/>
    </row>
    <row r="16" customFormat="false" ht="15" hidden="false" customHeight="true" outlineLevel="0" collapsed="false">
      <c r="B16" s="102"/>
      <c r="C16" s="102"/>
      <c r="D16" s="108"/>
      <c r="E16" s="102"/>
      <c r="F16" s="102"/>
      <c r="G16" s="102"/>
    </row>
    <row r="17" customFormat="false" ht="15" hidden="false" customHeight="true" outlineLevel="0" collapsed="false">
      <c r="B17" s="102"/>
      <c r="C17" s="102"/>
      <c r="D17" s="108"/>
      <c r="E17" s="102"/>
      <c r="F17" s="102"/>
      <c r="G17" s="102"/>
    </row>
    <row r="18" customFormat="false" ht="15" hidden="false" customHeight="true" outlineLevel="0" collapsed="false">
      <c r="B18" s="102"/>
      <c r="C18" s="102"/>
      <c r="D18" s="108"/>
      <c r="E18" s="102"/>
      <c r="F18" s="102"/>
      <c r="G18" s="102"/>
    </row>
    <row r="19" customFormat="false" ht="15" hidden="false" customHeight="true" outlineLevel="0" collapsed="false">
      <c r="B19" s="102"/>
      <c r="C19" s="102"/>
      <c r="D19" s="108"/>
      <c r="E19" s="102"/>
      <c r="F19" s="102"/>
      <c r="G19" s="102"/>
    </row>
    <row r="20" customFormat="false" ht="15" hidden="false" customHeight="true" outlineLevel="0" collapsed="false">
      <c r="B20" s="102"/>
      <c r="C20" s="102"/>
      <c r="D20" s="108"/>
      <c r="E20" s="102"/>
      <c r="F20" s="102"/>
      <c r="G20" s="102"/>
    </row>
    <row r="21" customFormat="false" ht="15" hidden="false" customHeight="true" outlineLevel="0" collapsed="false">
      <c r="B21" s="102"/>
      <c r="C21" s="102"/>
      <c r="D21" s="108"/>
      <c r="E21" s="102"/>
      <c r="F21" s="102"/>
      <c r="G21" s="102"/>
    </row>
    <row r="22" customFormat="false" ht="15" hidden="false" customHeight="true" outlineLevel="0" collapsed="false">
      <c r="B22" s="102"/>
      <c r="C22" s="102"/>
      <c r="D22" s="108"/>
      <c r="E22" s="102"/>
      <c r="F22" s="102"/>
      <c r="G22" s="102"/>
    </row>
    <row r="23" customFormat="false" ht="15" hidden="false" customHeight="true" outlineLevel="0" collapsed="false">
      <c r="B23" s="102"/>
      <c r="C23" s="102"/>
      <c r="D23" s="108"/>
      <c r="E23" s="102"/>
      <c r="F23" s="102"/>
      <c r="G23" s="102"/>
    </row>
    <row r="24" customFormat="false" ht="15" hidden="false" customHeight="true" outlineLevel="0" collapsed="false">
      <c r="B24" s="102"/>
      <c r="C24" s="102"/>
      <c r="D24" s="108"/>
      <c r="E24" s="102"/>
      <c r="F24" s="102"/>
      <c r="G24" s="102"/>
    </row>
    <row r="25" customFormat="false" ht="15" hidden="false" customHeight="true" outlineLevel="0" collapsed="false">
      <c r="B25" s="102"/>
      <c r="C25" s="102"/>
      <c r="D25" s="108"/>
      <c r="E25" s="102"/>
      <c r="F25" s="102"/>
      <c r="G25" s="102"/>
    </row>
    <row r="26" customFormat="false" ht="15" hidden="false" customHeight="true" outlineLevel="0" collapsed="false">
      <c r="B26" s="102"/>
      <c r="C26" s="102"/>
      <c r="D26" s="108"/>
      <c r="E26" s="102"/>
      <c r="F26" s="102"/>
      <c r="G26" s="102"/>
    </row>
    <row r="27" customFormat="false" ht="15" hidden="false" customHeight="true" outlineLevel="0" collapsed="false">
      <c r="B27" s="102"/>
      <c r="C27" s="102"/>
      <c r="D27" s="108"/>
      <c r="E27" s="102"/>
      <c r="F27" s="102"/>
      <c r="G27" s="102"/>
    </row>
    <row r="28" customFormat="false" ht="15" hidden="false" customHeight="true" outlineLevel="0" collapsed="false">
      <c r="B28" s="102"/>
      <c r="C28" s="102"/>
      <c r="D28" s="108"/>
      <c r="E28" s="102"/>
      <c r="F28" s="102"/>
      <c r="G28" s="102"/>
    </row>
    <row r="29" customFormat="false" ht="15" hidden="false" customHeight="true" outlineLevel="0" collapsed="false">
      <c r="B29" s="102"/>
      <c r="C29" s="102"/>
      <c r="D29" s="108"/>
      <c r="E29" s="102"/>
      <c r="F29" s="102"/>
      <c r="G29" s="102"/>
    </row>
    <row r="30" customFormat="false" ht="15" hidden="false" customHeight="true" outlineLevel="0" collapsed="false">
      <c r="B30" s="102"/>
      <c r="C30" s="102"/>
      <c r="D30" s="108"/>
      <c r="E30" s="102"/>
      <c r="F30" s="102"/>
      <c r="G30" s="102"/>
    </row>
    <row r="31" customFormat="false" ht="15" hidden="false" customHeight="true" outlineLevel="0" collapsed="false">
      <c r="B31" s="102"/>
      <c r="C31" s="102"/>
      <c r="D31" s="108"/>
      <c r="E31" s="102"/>
      <c r="F31" s="102"/>
      <c r="G31" s="102"/>
    </row>
    <row r="32" customFormat="false" ht="15" hidden="false" customHeight="true" outlineLevel="0" collapsed="false">
      <c r="B32" s="102"/>
      <c r="C32" s="102"/>
      <c r="D32" s="108"/>
      <c r="E32" s="102"/>
      <c r="F32" s="102"/>
      <c r="G32" s="102"/>
    </row>
    <row r="33" customFormat="false" ht="15" hidden="false" customHeight="true" outlineLevel="0" collapsed="false">
      <c r="B33" s="102"/>
      <c r="C33" s="102"/>
      <c r="D33" s="108"/>
      <c r="E33" s="102"/>
      <c r="F33" s="102"/>
      <c r="G33" s="102"/>
    </row>
    <row r="34" customFormat="false" ht="15" hidden="false" customHeight="true" outlineLevel="0" collapsed="false">
      <c r="B34" s="102"/>
      <c r="C34" s="102"/>
      <c r="D34" s="108"/>
      <c r="E34" s="102"/>
      <c r="F34" s="102"/>
      <c r="G34" s="102"/>
    </row>
    <row r="35" customFormat="false" ht="15" hidden="false" customHeight="true" outlineLevel="0" collapsed="false">
      <c r="B35" s="102"/>
      <c r="C35" s="102"/>
      <c r="D35" s="108"/>
      <c r="E35" s="102"/>
      <c r="F35" s="102"/>
      <c r="G35" s="102"/>
    </row>
    <row r="36" customFormat="false" ht="15" hidden="false" customHeight="true" outlineLevel="0" collapsed="false">
      <c r="B36" s="102"/>
      <c r="C36" s="102"/>
      <c r="D36" s="108"/>
      <c r="E36" s="102"/>
      <c r="F36" s="102"/>
      <c r="G36" s="102"/>
    </row>
    <row r="37" customFormat="false" ht="15" hidden="false" customHeight="true" outlineLevel="0" collapsed="false">
      <c r="B37" s="102"/>
      <c r="C37" s="102"/>
      <c r="D37" s="108"/>
      <c r="E37" s="102"/>
      <c r="F37" s="102"/>
      <c r="G37" s="102"/>
    </row>
    <row r="38" customFormat="false" ht="15" hidden="false" customHeight="true" outlineLevel="0" collapsed="false">
      <c r="B38" s="102"/>
      <c r="C38" s="102"/>
      <c r="D38" s="108"/>
      <c r="E38" s="102"/>
      <c r="F38" s="102"/>
      <c r="G38" s="102"/>
    </row>
    <row r="39" customFormat="false" ht="15" hidden="false" customHeight="true" outlineLevel="0" collapsed="false">
      <c r="B39" s="102"/>
      <c r="C39" s="102"/>
      <c r="D39" s="108"/>
      <c r="E39" s="102"/>
      <c r="F39" s="102"/>
      <c r="G39" s="102"/>
    </row>
    <row r="40" customFormat="false" ht="15" hidden="false" customHeight="true" outlineLevel="0" collapsed="false">
      <c r="B40" s="102"/>
      <c r="C40" s="102"/>
      <c r="D40" s="108"/>
      <c r="E40" s="102"/>
      <c r="F40" s="102"/>
      <c r="G40" s="102"/>
    </row>
    <row r="41" customFormat="false" ht="15" hidden="false" customHeight="true" outlineLevel="0" collapsed="false">
      <c r="B41" s="102"/>
      <c r="C41" s="102"/>
      <c r="D41" s="108"/>
      <c r="E41" s="102"/>
      <c r="F41" s="102"/>
      <c r="G41" s="102"/>
    </row>
    <row r="42" customFormat="false" ht="15" hidden="false" customHeight="true" outlineLevel="0" collapsed="false">
      <c r="B42" s="102"/>
      <c r="C42" s="102"/>
      <c r="D42" s="108"/>
      <c r="E42" s="102"/>
      <c r="F42" s="102"/>
      <c r="G42" s="102"/>
    </row>
    <row r="43" customFormat="false" ht="15" hidden="false" customHeight="true" outlineLevel="0" collapsed="false">
      <c r="B43" s="102"/>
      <c r="C43" s="102"/>
      <c r="D43" s="108"/>
      <c r="E43" s="102"/>
      <c r="F43" s="102"/>
      <c r="G43" s="102"/>
    </row>
    <row r="44" customFormat="false" ht="15" hidden="false" customHeight="true" outlineLevel="0" collapsed="false">
      <c r="B44" s="102"/>
      <c r="C44" s="102"/>
      <c r="D44" s="108"/>
      <c r="E44" s="102"/>
      <c r="F44" s="102"/>
      <c r="G44" s="102"/>
    </row>
    <row r="45" customFormat="false" ht="15" hidden="false" customHeight="true" outlineLevel="0" collapsed="false">
      <c r="B45" s="102"/>
      <c r="C45" s="102"/>
      <c r="D45" s="108"/>
      <c r="E45" s="102"/>
      <c r="F45" s="102"/>
      <c r="G45" s="102"/>
    </row>
    <row r="46" customFormat="false" ht="15" hidden="false" customHeight="true" outlineLevel="0" collapsed="false">
      <c r="B46" s="102"/>
      <c r="C46" s="102"/>
      <c r="D46" s="108"/>
      <c r="E46" s="102"/>
      <c r="F46" s="102"/>
      <c r="G46" s="102"/>
    </row>
    <row r="47" customFormat="false" ht="15" hidden="false" customHeight="true" outlineLevel="0" collapsed="false">
      <c r="B47" s="102"/>
      <c r="C47" s="102"/>
      <c r="D47" s="108"/>
      <c r="E47" s="102"/>
      <c r="F47" s="102"/>
      <c r="G47" s="102"/>
    </row>
    <row r="48" customFormat="false" ht="15" hidden="false" customHeight="true" outlineLevel="0" collapsed="false">
      <c r="B48" s="102"/>
      <c r="C48" s="102"/>
      <c r="D48" s="108"/>
      <c r="E48" s="102"/>
      <c r="F48" s="102"/>
      <c r="G48" s="102"/>
    </row>
    <row r="49" customFormat="false" ht="15" hidden="false" customHeight="true" outlineLevel="0" collapsed="false">
      <c r="B49" s="102"/>
      <c r="C49" s="102"/>
      <c r="D49" s="108"/>
      <c r="E49" s="102"/>
      <c r="F49" s="102"/>
      <c r="G49" s="102"/>
    </row>
    <row r="50" customFormat="false" ht="15" hidden="false" customHeight="true" outlineLevel="0" collapsed="false">
      <c r="B50" s="102"/>
      <c r="C50" s="102"/>
      <c r="D50" s="108"/>
      <c r="E50" s="102"/>
      <c r="F50" s="102"/>
      <c r="G50" s="102"/>
    </row>
    <row r="51" customFormat="false" ht="15" hidden="false" customHeight="true" outlineLevel="0" collapsed="false">
      <c r="B51" s="102"/>
      <c r="C51" s="102"/>
      <c r="D51" s="108"/>
      <c r="E51" s="102"/>
      <c r="F51" s="102"/>
      <c r="G51" s="102"/>
    </row>
    <row r="52" customFormat="false" ht="15" hidden="false" customHeight="true" outlineLevel="0" collapsed="false">
      <c r="B52" s="102"/>
      <c r="C52" s="102"/>
      <c r="D52" s="108"/>
      <c r="E52" s="102"/>
      <c r="F52" s="102"/>
      <c r="G52" s="102"/>
    </row>
    <row r="53" customFormat="false" ht="15" hidden="false" customHeight="true" outlineLevel="0" collapsed="false">
      <c r="B53" s="102"/>
      <c r="C53" s="102"/>
      <c r="D53" s="108"/>
      <c r="E53" s="102"/>
      <c r="F53" s="102"/>
      <c r="G53" s="102"/>
    </row>
    <row r="54" customFormat="false" ht="15" hidden="false" customHeight="true" outlineLevel="0" collapsed="false">
      <c r="B54" s="102"/>
      <c r="C54" s="102"/>
      <c r="D54" s="108"/>
      <c r="E54" s="102"/>
      <c r="F54" s="102"/>
      <c r="G54" s="102"/>
    </row>
    <row r="55" customFormat="false" ht="15" hidden="false" customHeight="true" outlineLevel="0" collapsed="false">
      <c r="B55" s="102"/>
      <c r="C55" s="102"/>
      <c r="D55" s="108"/>
      <c r="E55" s="102"/>
      <c r="F55" s="102"/>
      <c r="G55" s="102"/>
    </row>
    <row r="56" customFormat="false" ht="15" hidden="false" customHeight="true" outlineLevel="0" collapsed="false">
      <c r="B56" s="102"/>
      <c r="C56" s="102"/>
      <c r="D56" s="108"/>
      <c r="E56" s="102"/>
      <c r="F56" s="102"/>
      <c r="G56" s="102"/>
    </row>
    <row r="57" customFormat="false" ht="15" hidden="false" customHeight="true" outlineLevel="0" collapsed="false">
      <c r="B57" s="102"/>
      <c r="C57" s="102"/>
      <c r="D57" s="108"/>
      <c r="E57" s="102"/>
      <c r="F57" s="102"/>
      <c r="G57" s="102"/>
    </row>
    <row r="58" customFormat="false" ht="15" hidden="false" customHeight="true" outlineLevel="0" collapsed="false">
      <c r="B58" s="102"/>
      <c r="C58" s="102"/>
      <c r="D58" s="108"/>
      <c r="E58" s="102"/>
      <c r="F58" s="102"/>
      <c r="G58" s="102"/>
    </row>
    <row r="59" customFormat="false" ht="15" hidden="false" customHeight="true" outlineLevel="0" collapsed="false">
      <c r="B59" s="102"/>
      <c r="C59" s="102"/>
      <c r="D59" s="108"/>
      <c r="E59" s="102"/>
      <c r="F59" s="102"/>
      <c r="G59" s="102"/>
    </row>
    <row r="60" customFormat="false" ht="15" hidden="false" customHeight="true" outlineLevel="0" collapsed="false">
      <c r="B60" s="102"/>
      <c r="C60" s="102"/>
      <c r="D60" s="108"/>
      <c r="E60" s="102"/>
      <c r="F60" s="102"/>
      <c r="G60" s="102"/>
    </row>
    <row r="61" customFormat="false" ht="15" hidden="false" customHeight="true" outlineLevel="0" collapsed="false">
      <c r="B61" s="102"/>
      <c r="C61" s="102"/>
      <c r="D61" s="108"/>
      <c r="E61" s="102"/>
      <c r="F61" s="102"/>
      <c r="G61" s="102"/>
    </row>
  </sheetData>
  <sheetProtection sheet="true" scenarios="true" selectLockedCells="true"/>
  <mergeCells count="115">
    <mergeCell ref="B4:G4"/>
    <mergeCell ref="B5:C5"/>
    <mergeCell ref="E5:F5"/>
    <mergeCell ref="B6:C6"/>
    <mergeCell ref="E6:F6"/>
    <mergeCell ref="B7:C7"/>
    <mergeCell ref="E7:F7"/>
    <mergeCell ref="B8:C8"/>
    <mergeCell ref="E8:F8"/>
    <mergeCell ref="B9:C9"/>
    <mergeCell ref="E9:F9"/>
    <mergeCell ref="B10:C10"/>
    <mergeCell ref="E10:F10"/>
    <mergeCell ref="B11:C11"/>
    <mergeCell ref="E11:F11"/>
    <mergeCell ref="B12:C12"/>
    <mergeCell ref="E12:F12"/>
    <mergeCell ref="B13:C13"/>
    <mergeCell ref="E13:F13"/>
    <mergeCell ref="B14:C14"/>
    <mergeCell ref="E14:F14"/>
    <mergeCell ref="B15:C15"/>
    <mergeCell ref="E15:F15"/>
    <mergeCell ref="B16:C16"/>
    <mergeCell ref="E16:F16"/>
    <mergeCell ref="B17:C17"/>
    <mergeCell ref="E17:F17"/>
    <mergeCell ref="B18:C18"/>
    <mergeCell ref="E18:F18"/>
    <mergeCell ref="B19:C19"/>
    <mergeCell ref="E19:F19"/>
    <mergeCell ref="B20:C20"/>
    <mergeCell ref="E20:F20"/>
    <mergeCell ref="B21:C21"/>
    <mergeCell ref="E21:F21"/>
    <mergeCell ref="B22:C22"/>
    <mergeCell ref="E22:F22"/>
    <mergeCell ref="B23:C23"/>
    <mergeCell ref="E23:F23"/>
    <mergeCell ref="B24:C24"/>
    <mergeCell ref="E24:F24"/>
    <mergeCell ref="B25:C25"/>
    <mergeCell ref="E25:F25"/>
    <mergeCell ref="B26:C26"/>
    <mergeCell ref="E26:F26"/>
    <mergeCell ref="B27:C27"/>
    <mergeCell ref="E27:F27"/>
    <mergeCell ref="B28:C28"/>
    <mergeCell ref="E28:F28"/>
    <mergeCell ref="B29:C29"/>
    <mergeCell ref="E29:F29"/>
    <mergeCell ref="B30:C30"/>
    <mergeCell ref="E30:F30"/>
    <mergeCell ref="B31:C31"/>
    <mergeCell ref="E31:F31"/>
    <mergeCell ref="B32:C32"/>
    <mergeCell ref="E32:F32"/>
    <mergeCell ref="B33:C33"/>
    <mergeCell ref="E33:F33"/>
    <mergeCell ref="B34:C34"/>
    <mergeCell ref="E34:F34"/>
    <mergeCell ref="B35:C35"/>
    <mergeCell ref="E35:F35"/>
    <mergeCell ref="B36:C36"/>
    <mergeCell ref="E36:F36"/>
    <mergeCell ref="B37:C37"/>
    <mergeCell ref="E37:F37"/>
    <mergeCell ref="B38:C38"/>
    <mergeCell ref="E38:F38"/>
    <mergeCell ref="B39:C39"/>
    <mergeCell ref="E39:F39"/>
    <mergeCell ref="B40:C40"/>
    <mergeCell ref="E40:F40"/>
    <mergeCell ref="B41:C41"/>
    <mergeCell ref="E41:F41"/>
    <mergeCell ref="B42:C42"/>
    <mergeCell ref="E42:F42"/>
    <mergeCell ref="B43:C43"/>
    <mergeCell ref="E43:F43"/>
    <mergeCell ref="B44:C44"/>
    <mergeCell ref="E44:F44"/>
    <mergeCell ref="B45:C45"/>
    <mergeCell ref="E45:F45"/>
    <mergeCell ref="B46:C46"/>
    <mergeCell ref="E46:F46"/>
    <mergeCell ref="B47:C47"/>
    <mergeCell ref="E47:F47"/>
    <mergeCell ref="B48:C48"/>
    <mergeCell ref="E48:F48"/>
    <mergeCell ref="B49:C49"/>
    <mergeCell ref="E49:F49"/>
    <mergeCell ref="B50:C50"/>
    <mergeCell ref="E50:F50"/>
    <mergeCell ref="B51:C51"/>
    <mergeCell ref="E51:F51"/>
    <mergeCell ref="B52:C52"/>
    <mergeCell ref="E52:F52"/>
    <mergeCell ref="B53:C53"/>
    <mergeCell ref="E53:F53"/>
    <mergeCell ref="B54:C54"/>
    <mergeCell ref="E54:F54"/>
    <mergeCell ref="B55:C55"/>
    <mergeCell ref="E55:F55"/>
    <mergeCell ref="B56:C56"/>
    <mergeCell ref="E56:F56"/>
    <mergeCell ref="B57:C57"/>
    <mergeCell ref="E57:F57"/>
    <mergeCell ref="B58:C58"/>
    <mergeCell ref="E58:F58"/>
    <mergeCell ref="B59:C59"/>
    <mergeCell ref="E59:F59"/>
    <mergeCell ref="B60:C60"/>
    <mergeCell ref="E60:F60"/>
    <mergeCell ref="B61:C61"/>
    <mergeCell ref="E61:F61"/>
  </mergeCells>
  <dataValidations count="2">
    <dataValidation allowBlank="true" error="The entered date is in the future or is not in the dd/mm/yyyy format" errorTitle="Invalid Date" operator="lessThanOrEqual" showDropDown="false" showErrorMessage="true" showInputMessage="true" sqref="D6:D61" type="none">
      <formula1>0</formula1>
      <formula2>0</formula2>
    </dataValidation>
    <dataValidation allowBlank="true" operator="between" showDropDown="false" showErrorMessage="true" showInputMessage="true" sqref="E6:E61" type="list">
      <formula1>CURRENCY</formula1>
      <formula2>0</formula2>
    </dataValidation>
  </dataValidations>
  <printOptions headings="false" gridLines="false" gridLinesSet="true" horizontalCentered="false" verticalCentered="false"/>
  <pageMargins left="0.7" right="0.7" top="0.75" bottom="0.75" header="0.511805555555555" footer="0.3"/>
  <pageSetup paperSize="1"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&amp;LRESTRICTED</oddFooter>
  </headerFooter>
  <drawing r:id="rId1"/>
</worksheet>
</file>

<file path=xl/worksheets/sheet7.xml><?xml version="1.0" encoding="utf-8"?>
<worksheet xmlns="http://schemas.openxmlformats.org/spreadsheetml/2006/main" xmlns:r="http://schemas.openxmlformats.org/officeDocument/2006/relationships">
  <sheetPr filterMode="false">
    <pageSetUpPr fitToPage="false"/>
  </sheetPr>
  <dimension ref="B2:J61"/>
  <sheetViews>
    <sheetView windowProtection="false" showFormulas="false" showGridLines="false" showRowColHeaders="false" showZeros="true" rightToLeft="false" tabSelected="false" showOutlineSymbols="true" defaultGridColor="true" view="normal" topLeftCell="A1" colorId="64" zoomScale="100" zoomScaleNormal="100" zoomScalePageLayoutView="100" workbookViewId="0">
      <selection pane="topLeft" activeCell="B5" activeCellId="0" sqref="B5"/>
    </sheetView>
  </sheetViews>
  <sheetFormatPr defaultRowHeight="15"/>
  <cols>
    <col collapsed="false" hidden="false" max="1" min="1" style="0" width="5.35627530364372"/>
    <col collapsed="false" hidden="false" max="2" min="2" style="0" width="17.3522267206478"/>
    <col collapsed="false" hidden="false" max="3" min="3" style="0" width="9.4251012145749"/>
    <col collapsed="false" hidden="false" max="4" min="4" style="0" width="16.8178137651822"/>
    <col collapsed="false" hidden="false" max="5" min="5" style="0" width="11.6761133603239"/>
    <col collapsed="false" hidden="false" max="6" min="6" style="0" width="10.6032388663968"/>
    <col collapsed="false" hidden="false" max="7" min="7" style="0" width="15.5303643724696"/>
    <col collapsed="false" hidden="false" max="8" min="8" style="0" width="21.3157894736842"/>
    <col collapsed="false" hidden="false" max="9" min="9" style="0" width="24.4251012145749"/>
    <col collapsed="false" hidden="false" max="10" min="10" style="0" width="24.9595141700405"/>
    <col collapsed="false" hidden="false" max="1025" min="11" style="0" width="8.57085020242915"/>
  </cols>
  <sheetData>
    <row r="2" customFormat="false" ht="15" hidden="false" customHeight="true" outlineLevel="0" collapsed="false">
      <c r="D2" s="110" t="s">
        <v>98</v>
      </c>
      <c r="E2" s="110"/>
      <c r="F2" s="110"/>
      <c r="G2" s="110"/>
      <c r="H2" s="110"/>
      <c r="I2" s="110"/>
      <c r="J2" s="110"/>
    </row>
    <row r="3" customFormat="false" ht="15" hidden="false" customHeight="false" outlineLevel="0" collapsed="false">
      <c r="D3" s="110"/>
      <c r="E3" s="110"/>
      <c r="F3" s="110"/>
      <c r="G3" s="110"/>
      <c r="H3" s="110"/>
      <c r="I3" s="110"/>
      <c r="J3" s="110"/>
    </row>
    <row r="4" customFormat="false" ht="18.75" hidden="false" customHeight="false" outlineLevel="0" collapsed="false">
      <c r="B4" s="104" t="s">
        <v>72</v>
      </c>
      <c r="C4" s="104"/>
      <c r="D4" s="104"/>
      <c r="E4" s="104"/>
      <c r="F4" s="104"/>
      <c r="G4" s="104"/>
      <c r="H4" s="104"/>
      <c r="I4" s="104"/>
      <c r="J4" s="104"/>
    </row>
    <row r="5" customFormat="false" ht="26.25" hidden="false" customHeight="true" outlineLevel="0" collapsed="false">
      <c r="B5" s="111" t="s">
        <v>73</v>
      </c>
      <c r="C5" s="111"/>
      <c r="D5" s="111" t="s">
        <v>70</v>
      </c>
      <c r="E5" s="111" t="s">
        <v>28</v>
      </c>
      <c r="F5" s="111"/>
      <c r="G5" s="101" t="s">
        <v>29</v>
      </c>
      <c r="H5" s="101" t="s">
        <v>74</v>
      </c>
      <c r="I5" s="101" t="s">
        <v>75</v>
      </c>
      <c r="J5" s="101" t="s">
        <v>67</v>
      </c>
    </row>
    <row r="6" customFormat="false" ht="15" hidden="false" customHeight="true" outlineLevel="0" collapsed="false">
      <c r="B6" s="102"/>
      <c r="C6" s="102"/>
      <c r="D6" s="108"/>
      <c r="E6" s="102"/>
      <c r="F6" s="102"/>
      <c r="G6" s="102" t="n">
        <v>0</v>
      </c>
      <c r="H6" s="102"/>
      <c r="I6" s="102"/>
      <c r="J6" s="102"/>
    </row>
    <row r="7" customFormat="false" ht="15" hidden="false" customHeight="false" outlineLevel="0" collapsed="false">
      <c r="B7" s="102"/>
      <c r="C7" s="102"/>
      <c r="D7" s="108"/>
      <c r="E7" s="102"/>
      <c r="F7" s="102"/>
      <c r="G7" s="102"/>
      <c r="H7" s="102"/>
      <c r="I7" s="102"/>
      <c r="J7" s="127"/>
    </row>
    <row r="8" customFormat="false" ht="15" hidden="false" customHeight="false" outlineLevel="0" collapsed="false">
      <c r="B8" s="102"/>
      <c r="C8" s="102"/>
      <c r="D8" s="108"/>
      <c r="E8" s="102"/>
      <c r="F8" s="102"/>
      <c r="G8" s="102"/>
      <c r="H8" s="102"/>
      <c r="I8" s="102"/>
      <c r="J8" s="127"/>
    </row>
    <row r="9" customFormat="false" ht="15" hidden="false" customHeight="false" outlineLevel="0" collapsed="false">
      <c r="B9" s="102"/>
      <c r="C9" s="102"/>
      <c r="D9" s="108"/>
      <c r="E9" s="102"/>
      <c r="F9" s="102"/>
      <c r="G9" s="102"/>
      <c r="H9" s="102"/>
      <c r="I9" s="102"/>
      <c r="J9" s="127"/>
    </row>
    <row r="10" customFormat="false" ht="15" hidden="false" customHeight="false" outlineLevel="0" collapsed="false">
      <c r="B10" s="102"/>
      <c r="C10" s="102"/>
      <c r="D10" s="108"/>
      <c r="E10" s="102"/>
      <c r="F10" s="102"/>
      <c r="G10" s="102"/>
      <c r="H10" s="102"/>
      <c r="I10" s="102"/>
      <c r="J10" s="127"/>
    </row>
    <row r="11" customFormat="false" ht="15" hidden="false" customHeight="false" outlineLevel="0" collapsed="false">
      <c r="B11" s="102"/>
      <c r="C11" s="102"/>
      <c r="D11" s="108"/>
      <c r="E11" s="102"/>
      <c r="F11" s="102"/>
      <c r="G11" s="102"/>
      <c r="H11" s="102"/>
      <c r="I11" s="102"/>
      <c r="J11" s="127"/>
    </row>
    <row r="12" customFormat="false" ht="15" hidden="false" customHeight="false" outlineLevel="0" collapsed="false">
      <c r="B12" s="102"/>
      <c r="C12" s="102"/>
      <c r="D12" s="108"/>
      <c r="E12" s="102"/>
      <c r="F12" s="102"/>
      <c r="G12" s="102"/>
      <c r="H12" s="102"/>
      <c r="I12" s="102"/>
      <c r="J12" s="127"/>
    </row>
    <row r="13" customFormat="false" ht="15" hidden="false" customHeight="false" outlineLevel="0" collapsed="false">
      <c r="B13" s="102"/>
      <c r="C13" s="102"/>
      <c r="D13" s="108"/>
      <c r="E13" s="102"/>
      <c r="F13" s="102"/>
      <c r="G13" s="102"/>
      <c r="H13" s="102"/>
      <c r="I13" s="102"/>
      <c r="J13" s="127"/>
    </row>
    <row r="14" customFormat="false" ht="15" hidden="false" customHeight="false" outlineLevel="0" collapsed="false">
      <c r="B14" s="102"/>
      <c r="C14" s="102"/>
      <c r="D14" s="108"/>
      <c r="E14" s="102"/>
      <c r="F14" s="102"/>
      <c r="G14" s="102"/>
      <c r="H14" s="102"/>
      <c r="I14" s="102"/>
      <c r="J14" s="127"/>
    </row>
    <row r="15" customFormat="false" ht="15" hidden="false" customHeight="false" outlineLevel="0" collapsed="false">
      <c r="B15" s="102"/>
      <c r="C15" s="102"/>
      <c r="D15" s="108"/>
      <c r="E15" s="102"/>
      <c r="F15" s="102"/>
      <c r="G15" s="102"/>
      <c r="H15" s="102"/>
      <c r="I15" s="102"/>
      <c r="J15" s="127"/>
    </row>
    <row r="16" customFormat="false" ht="15" hidden="false" customHeight="false" outlineLevel="0" collapsed="false">
      <c r="B16" s="102"/>
      <c r="C16" s="102"/>
      <c r="D16" s="108"/>
      <c r="E16" s="102"/>
      <c r="F16" s="102"/>
      <c r="G16" s="102"/>
      <c r="H16" s="102"/>
      <c r="I16" s="102"/>
      <c r="J16" s="127"/>
    </row>
    <row r="17" customFormat="false" ht="15" hidden="false" customHeight="false" outlineLevel="0" collapsed="false">
      <c r="B17" s="102"/>
      <c r="C17" s="102"/>
      <c r="D17" s="108"/>
      <c r="E17" s="102"/>
      <c r="F17" s="102"/>
      <c r="G17" s="102"/>
      <c r="H17" s="102"/>
      <c r="I17" s="102"/>
      <c r="J17" s="127"/>
    </row>
    <row r="18" customFormat="false" ht="15" hidden="false" customHeight="false" outlineLevel="0" collapsed="false">
      <c r="B18" s="102"/>
      <c r="C18" s="102"/>
      <c r="D18" s="108"/>
      <c r="E18" s="102"/>
      <c r="F18" s="102"/>
      <c r="G18" s="102"/>
      <c r="H18" s="102"/>
      <c r="I18" s="102"/>
      <c r="J18" s="127"/>
    </row>
    <row r="19" customFormat="false" ht="15" hidden="false" customHeight="false" outlineLevel="0" collapsed="false">
      <c r="B19" s="102"/>
      <c r="C19" s="102"/>
      <c r="D19" s="108"/>
      <c r="E19" s="102"/>
      <c r="F19" s="102"/>
      <c r="G19" s="102"/>
      <c r="H19" s="102"/>
      <c r="I19" s="102"/>
      <c r="J19" s="127"/>
    </row>
    <row r="20" customFormat="false" ht="15" hidden="false" customHeight="false" outlineLevel="0" collapsed="false">
      <c r="B20" s="102"/>
      <c r="C20" s="102"/>
      <c r="D20" s="108"/>
      <c r="E20" s="102"/>
      <c r="F20" s="102"/>
      <c r="G20" s="102"/>
      <c r="H20" s="102"/>
      <c r="I20" s="102"/>
      <c r="J20" s="127"/>
    </row>
    <row r="21" customFormat="false" ht="15" hidden="false" customHeight="false" outlineLevel="0" collapsed="false">
      <c r="B21" s="102"/>
      <c r="C21" s="102"/>
      <c r="D21" s="108"/>
      <c r="E21" s="102"/>
      <c r="F21" s="102"/>
      <c r="G21" s="102"/>
      <c r="H21" s="102"/>
      <c r="I21" s="102"/>
      <c r="J21" s="127"/>
    </row>
    <row r="22" customFormat="false" ht="15" hidden="false" customHeight="false" outlineLevel="0" collapsed="false">
      <c r="B22" s="102"/>
      <c r="C22" s="102"/>
      <c r="D22" s="108"/>
      <c r="E22" s="102"/>
      <c r="F22" s="102"/>
      <c r="G22" s="102"/>
      <c r="H22" s="102"/>
      <c r="I22" s="102"/>
      <c r="J22" s="127"/>
    </row>
    <row r="23" customFormat="false" ht="15" hidden="false" customHeight="false" outlineLevel="0" collapsed="false">
      <c r="B23" s="102"/>
      <c r="C23" s="102"/>
      <c r="D23" s="108"/>
      <c r="E23" s="102"/>
      <c r="F23" s="102"/>
      <c r="G23" s="102"/>
      <c r="H23" s="102"/>
      <c r="I23" s="102"/>
      <c r="J23" s="127"/>
    </row>
    <row r="24" customFormat="false" ht="15" hidden="false" customHeight="false" outlineLevel="0" collapsed="false">
      <c r="B24" s="102"/>
      <c r="C24" s="102"/>
      <c r="D24" s="108"/>
      <c r="E24" s="102"/>
      <c r="F24" s="102"/>
      <c r="G24" s="102"/>
      <c r="H24" s="102"/>
      <c r="I24" s="102"/>
      <c r="J24" s="127"/>
    </row>
    <row r="25" customFormat="false" ht="15" hidden="false" customHeight="false" outlineLevel="0" collapsed="false">
      <c r="B25" s="102"/>
      <c r="C25" s="102"/>
      <c r="D25" s="108"/>
      <c r="E25" s="102"/>
      <c r="F25" s="102"/>
      <c r="G25" s="102"/>
      <c r="H25" s="102"/>
      <c r="I25" s="102"/>
      <c r="J25" s="127"/>
    </row>
    <row r="26" customFormat="false" ht="15" hidden="false" customHeight="false" outlineLevel="0" collapsed="false">
      <c r="B26" s="102"/>
      <c r="C26" s="102"/>
      <c r="D26" s="108"/>
      <c r="E26" s="102"/>
      <c r="F26" s="102"/>
      <c r="G26" s="102"/>
      <c r="H26" s="102"/>
      <c r="I26" s="102"/>
      <c r="J26" s="127"/>
    </row>
    <row r="27" customFormat="false" ht="15" hidden="false" customHeight="false" outlineLevel="0" collapsed="false">
      <c r="B27" s="102"/>
      <c r="C27" s="102"/>
      <c r="D27" s="108"/>
      <c r="E27" s="102"/>
      <c r="F27" s="102"/>
      <c r="G27" s="102"/>
      <c r="H27" s="102"/>
      <c r="I27" s="102"/>
      <c r="J27" s="127"/>
    </row>
    <row r="28" customFormat="false" ht="15" hidden="false" customHeight="false" outlineLevel="0" collapsed="false">
      <c r="B28" s="102"/>
      <c r="C28" s="102"/>
      <c r="D28" s="108"/>
      <c r="E28" s="102"/>
      <c r="F28" s="102"/>
      <c r="G28" s="102"/>
      <c r="H28" s="102"/>
      <c r="I28" s="102"/>
      <c r="J28" s="127"/>
    </row>
    <row r="29" customFormat="false" ht="15" hidden="false" customHeight="false" outlineLevel="0" collapsed="false">
      <c r="B29" s="102"/>
      <c r="C29" s="102"/>
      <c r="D29" s="108"/>
      <c r="E29" s="102"/>
      <c r="F29" s="102"/>
      <c r="G29" s="102"/>
      <c r="H29" s="102"/>
      <c r="I29" s="102"/>
      <c r="J29" s="127"/>
    </row>
    <row r="30" customFormat="false" ht="15" hidden="false" customHeight="false" outlineLevel="0" collapsed="false">
      <c r="B30" s="102"/>
      <c r="C30" s="102"/>
      <c r="D30" s="108"/>
      <c r="E30" s="102"/>
      <c r="F30" s="102"/>
      <c r="G30" s="102"/>
      <c r="H30" s="102"/>
      <c r="I30" s="102"/>
      <c r="J30" s="127"/>
    </row>
    <row r="31" customFormat="false" ht="15" hidden="false" customHeight="false" outlineLevel="0" collapsed="false">
      <c r="B31" s="102"/>
      <c r="C31" s="102"/>
      <c r="D31" s="108"/>
      <c r="E31" s="102"/>
      <c r="F31" s="102"/>
      <c r="G31" s="102"/>
      <c r="H31" s="102"/>
      <c r="I31" s="102"/>
      <c r="J31" s="127"/>
    </row>
    <row r="32" customFormat="false" ht="15" hidden="false" customHeight="false" outlineLevel="0" collapsed="false">
      <c r="B32" s="102"/>
      <c r="C32" s="102"/>
      <c r="D32" s="108"/>
      <c r="E32" s="102"/>
      <c r="F32" s="102"/>
      <c r="G32" s="102"/>
      <c r="H32" s="102"/>
      <c r="I32" s="102"/>
      <c r="J32" s="127"/>
    </row>
    <row r="33" customFormat="false" ht="15" hidden="false" customHeight="false" outlineLevel="0" collapsed="false">
      <c r="B33" s="102"/>
      <c r="C33" s="102"/>
      <c r="D33" s="108"/>
      <c r="E33" s="102"/>
      <c r="F33" s="102"/>
      <c r="G33" s="102"/>
      <c r="H33" s="102"/>
      <c r="I33" s="102"/>
      <c r="J33" s="127"/>
    </row>
    <row r="34" customFormat="false" ht="15" hidden="false" customHeight="false" outlineLevel="0" collapsed="false">
      <c r="B34" s="102"/>
      <c r="C34" s="102"/>
      <c r="D34" s="108"/>
      <c r="E34" s="102"/>
      <c r="F34" s="102"/>
      <c r="G34" s="102"/>
      <c r="H34" s="102"/>
      <c r="I34" s="102"/>
      <c r="J34" s="127"/>
    </row>
    <row r="35" customFormat="false" ht="15" hidden="false" customHeight="false" outlineLevel="0" collapsed="false">
      <c r="B35" s="102"/>
      <c r="C35" s="102"/>
      <c r="D35" s="108"/>
      <c r="E35" s="102"/>
      <c r="F35" s="102"/>
      <c r="G35" s="102"/>
      <c r="H35" s="102"/>
      <c r="I35" s="102"/>
      <c r="J35" s="127"/>
    </row>
    <row r="36" customFormat="false" ht="15" hidden="false" customHeight="false" outlineLevel="0" collapsed="false">
      <c r="B36" s="102"/>
      <c r="C36" s="102"/>
      <c r="D36" s="108"/>
      <c r="E36" s="102"/>
      <c r="F36" s="102"/>
      <c r="G36" s="102"/>
      <c r="H36" s="102"/>
      <c r="I36" s="102"/>
      <c r="J36" s="127"/>
    </row>
    <row r="37" customFormat="false" ht="15" hidden="false" customHeight="false" outlineLevel="0" collapsed="false">
      <c r="B37" s="102"/>
      <c r="C37" s="102"/>
      <c r="D37" s="108"/>
      <c r="E37" s="102"/>
      <c r="F37" s="102"/>
      <c r="G37" s="102"/>
      <c r="H37" s="102"/>
      <c r="I37" s="102"/>
      <c r="J37" s="127"/>
    </row>
    <row r="38" customFormat="false" ht="15" hidden="false" customHeight="false" outlineLevel="0" collapsed="false">
      <c r="B38" s="102"/>
      <c r="C38" s="102"/>
      <c r="D38" s="108"/>
      <c r="E38" s="102"/>
      <c r="F38" s="102"/>
      <c r="G38" s="102"/>
      <c r="H38" s="102"/>
      <c r="I38" s="102"/>
      <c r="J38" s="127"/>
    </row>
    <row r="39" customFormat="false" ht="15" hidden="false" customHeight="false" outlineLevel="0" collapsed="false">
      <c r="B39" s="102"/>
      <c r="C39" s="102"/>
      <c r="D39" s="108"/>
      <c r="E39" s="102"/>
      <c r="F39" s="102"/>
      <c r="G39" s="102"/>
      <c r="H39" s="102"/>
      <c r="I39" s="102"/>
      <c r="J39" s="127"/>
    </row>
    <row r="40" customFormat="false" ht="15" hidden="false" customHeight="false" outlineLevel="0" collapsed="false">
      <c r="B40" s="102"/>
      <c r="C40" s="102"/>
      <c r="D40" s="108"/>
      <c r="E40" s="102"/>
      <c r="F40" s="102"/>
      <c r="G40" s="102"/>
      <c r="H40" s="102"/>
      <c r="I40" s="102"/>
      <c r="J40" s="127"/>
    </row>
    <row r="41" customFormat="false" ht="15" hidden="false" customHeight="false" outlineLevel="0" collapsed="false">
      <c r="B41" s="102"/>
      <c r="C41" s="102"/>
      <c r="D41" s="108"/>
      <c r="E41" s="102"/>
      <c r="F41" s="102"/>
      <c r="G41" s="102"/>
      <c r="H41" s="102"/>
      <c r="I41" s="102"/>
      <c r="J41" s="127"/>
    </row>
    <row r="42" customFormat="false" ht="15" hidden="false" customHeight="false" outlineLevel="0" collapsed="false">
      <c r="B42" s="102"/>
      <c r="C42" s="102"/>
      <c r="D42" s="108"/>
      <c r="E42" s="102"/>
      <c r="F42" s="102"/>
      <c r="G42" s="102"/>
      <c r="H42" s="102"/>
      <c r="I42" s="102"/>
      <c r="J42" s="127"/>
    </row>
    <row r="43" customFormat="false" ht="15" hidden="false" customHeight="false" outlineLevel="0" collapsed="false">
      <c r="B43" s="102"/>
      <c r="C43" s="102"/>
      <c r="D43" s="108"/>
      <c r="E43" s="102"/>
      <c r="F43" s="102"/>
      <c r="G43" s="102"/>
      <c r="H43" s="102"/>
      <c r="I43" s="102"/>
      <c r="J43" s="127"/>
    </row>
    <row r="44" customFormat="false" ht="15" hidden="false" customHeight="false" outlineLevel="0" collapsed="false">
      <c r="B44" s="102"/>
      <c r="C44" s="102"/>
      <c r="D44" s="108"/>
      <c r="E44" s="102"/>
      <c r="F44" s="102"/>
      <c r="G44" s="102"/>
      <c r="H44" s="102"/>
      <c r="I44" s="102"/>
      <c r="J44" s="127"/>
    </row>
    <row r="45" customFormat="false" ht="15" hidden="false" customHeight="false" outlineLevel="0" collapsed="false">
      <c r="B45" s="102"/>
      <c r="C45" s="102"/>
      <c r="D45" s="108"/>
      <c r="E45" s="102"/>
      <c r="F45" s="102"/>
      <c r="G45" s="102"/>
      <c r="H45" s="102"/>
      <c r="I45" s="102"/>
      <c r="J45" s="127"/>
    </row>
    <row r="46" customFormat="false" ht="15" hidden="false" customHeight="false" outlineLevel="0" collapsed="false">
      <c r="B46" s="102"/>
      <c r="C46" s="102"/>
      <c r="D46" s="108"/>
      <c r="E46" s="102"/>
      <c r="F46" s="102"/>
      <c r="G46" s="102"/>
      <c r="H46" s="102"/>
      <c r="I46" s="102"/>
      <c r="J46" s="127"/>
    </row>
    <row r="47" customFormat="false" ht="15" hidden="false" customHeight="false" outlineLevel="0" collapsed="false">
      <c r="B47" s="102"/>
      <c r="C47" s="102"/>
      <c r="D47" s="108"/>
      <c r="E47" s="102"/>
      <c r="F47" s="102"/>
      <c r="G47" s="102"/>
      <c r="H47" s="102"/>
      <c r="I47" s="102"/>
      <c r="J47" s="127"/>
    </row>
    <row r="48" customFormat="false" ht="15" hidden="false" customHeight="false" outlineLevel="0" collapsed="false">
      <c r="B48" s="102"/>
      <c r="C48" s="102"/>
      <c r="D48" s="108"/>
      <c r="E48" s="102"/>
      <c r="F48" s="102"/>
      <c r="G48" s="102"/>
      <c r="H48" s="102"/>
      <c r="I48" s="102"/>
      <c r="J48" s="127"/>
    </row>
    <row r="49" customFormat="false" ht="15" hidden="false" customHeight="false" outlineLevel="0" collapsed="false">
      <c r="B49" s="102"/>
      <c r="C49" s="102"/>
      <c r="D49" s="108"/>
      <c r="E49" s="102"/>
      <c r="F49" s="102"/>
      <c r="G49" s="102"/>
      <c r="H49" s="102"/>
      <c r="I49" s="102"/>
      <c r="J49" s="127"/>
    </row>
    <row r="50" customFormat="false" ht="15" hidden="false" customHeight="false" outlineLevel="0" collapsed="false">
      <c r="B50" s="102"/>
      <c r="C50" s="102"/>
      <c r="D50" s="108"/>
      <c r="E50" s="102"/>
      <c r="F50" s="102"/>
      <c r="G50" s="102"/>
      <c r="H50" s="102"/>
      <c r="I50" s="102"/>
      <c r="J50" s="127"/>
    </row>
    <row r="51" customFormat="false" ht="15" hidden="false" customHeight="false" outlineLevel="0" collapsed="false">
      <c r="B51" s="102"/>
      <c r="C51" s="102"/>
      <c r="D51" s="108"/>
      <c r="E51" s="102"/>
      <c r="F51" s="102"/>
      <c r="G51" s="102"/>
      <c r="H51" s="102"/>
      <c r="I51" s="102"/>
      <c r="J51" s="127"/>
    </row>
    <row r="52" customFormat="false" ht="15" hidden="false" customHeight="false" outlineLevel="0" collapsed="false">
      <c r="B52" s="102"/>
      <c r="C52" s="102"/>
      <c r="D52" s="108"/>
      <c r="E52" s="102"/>
      <c r="F52" s="102"/>
      <c r="G52" s="102"/>
      <c r="H52" s="102"/>
      <c r="I52" s="102"/>
      <c r="J52" s="127"/>
    </row>
    <row r="53" customFormat="false" ht="15" hidden="false" customHeight="false" outlineLevel="0" collapsed="false">
      <c r="B53" s="102"/>
      <c r="C53" s="102"/>
      <c r="D53" s="108"/>
      <c r="E53" s="102"/>
      <c r="F53" s="102"/>
      <c r="G53" s="102"/>
      <c r="H53" s="102"/>
      <c r="I53" s="102"/>
      <c r="J53" s="127"/>
    </row>
    <row r="54" customFormat="false" ht="15" hidden="false" customHeight="false" outlineLevel="0" collapsed="false">
      <c r="B54" s="102"/>
      <c r="C54" s="102"/>
      <c r="D54" s="108"/>
      <c r="E54" s="102"/>
      <c r="F54" s="102"/>
      <c r="G54" s="102"/>
      <c r="H54" s="102"/>
      <c r="I54" s="102"/>
      <c r="J54" s="127"/>
    </row>
    <row r="55" customFormat="false" ht="15" hidden="false" customHeight="false" outlineLevel="0" collapsed="false">
      <c r="B55" s="102"/>
      <c r="C55" s="102"/>
      <c r="D55" s="108"/>
      <c r="E55" s="102"/>
      <c r="F55" s="102"/>
      <c r="G55" s="102"/>
      <c r="H55" s="102"/>
      <c r="I55" s="102"/>
      <c r="J55" s="127"/>
    </row>
    <row r="56" customFormat="false" ht="15" hidden="false" customHeight="false" outlineLevel="0" collapsed="false">
      <c r="B56" s="102"/>
      <c r="C56" s="102"/>
      <c r="D56" s="108"/>
      <c r="E56" s="102"/>
      <c r="F56" s="102"/>
      <c r="G56" s="102"/>
      <c r="H56" s="102"/>
      <c r="I56" s="102"/>
      <c r="J56" s="127"/>
    </row>
    <row r="57" customFormat="false" ht="15" hidden="false" customHeight="false" outlineLevel="0" collapsed="false">
      <c r="B57" s="102"/>
      <c r="C57" s="102"/>
      <c r="D57" s="108"/>
      <c r="E57" s="102"/>
      <c r="F57" s="102"/>
      <c r="G57" s="102"/>
      <c r="H57" s="102"/>
      <c r="I57" s="102"/>
      <c r="J57" s="127"/>
    </row>
    <row r="58" customFormat="false" ht="15" hidden="false" customHeight="false" outlineLevel="0" collapsed="false">
      <c r="B58" s="102"/>
      <c r="C58" s="102"/>
      <c r="D58" s="108"/>
      <c r="E58" s="102"/>
      <c r="F58" s="102"/>
      <c r="G58" s="102"/>
      <c r="H58" s="102"/>
      <c r="I58" s="102"/>
      <c r="J58" s="127"/>
    </row>
    <row r="59" customFormat="false" ht="15" hidden="false" customHeight="false" outlineLevel="0" collapsed="false">
      <c r="B59" s="102"/>
      <c r="C59" s="102"/>
      <c r="D59" s="108"/>
      <c r="E59" s="102"/>
      <c r="F59" s="102"/>
      <c r="G59" s="102"/>
      <c r="H59" s="102"/>
      <c r="I59" s="102"/>
      <c r="J59" s="127"/>
    </row>
    <row r="60" customFormat="false" ht="15" hidden="false" customHeight="false" outlineLevel="0" collapsed="false">
      <c r="B60" s="102"/>
      <c r="C60" s="102"/>
      <c r="D60" s="108"/>
      <c r="E60" s="102"/>
      <c r="F60" s="102"/>
      <c r="G60" s="102"/>
      <c r="H60" s="102"/>
      <c r="I60" s="102"/>
      <c r="J60" s="127"/>
    </row>
    <row r="61" customFormat="false" ht="15" hidden="false" customHeight="false" outlineLevel="0" collapsed="false">
      <c r="B61" s="102"/>
      <c r="C61" s="102"/>
      <c r="D61" s="108"/>
      <c r="E61" s="102"/>
      <c r="F61" s="102"/>
      <c r="G61" s="102"/>
      <c r="H61" s="102"/>
      <c r="I61" s="102"/>
      <c r="J61" s="127"/>
    </row>
  </sheetData>
  <sheetProtection sheet="true" password="83af" scenarios="true" selectLockedCells="true"/>
  <mergeCells count="116">
    <mergeCell ref="D2:J3"/>
    <mergeCell ref="B4:J4"/>
    <mergeCell ref="B5:C5"/>
    <mergeCell ref="E5:F5"/>
    <mergeCell ref="B6:C6"/>
    <mergeCell ref="E6:F6"/>
    <mergeCell ref="B7:C7"/>
    <mergeCell ref="E7:F7"/>
    <mergeCell ref="B8:C8"/>
    <mergeCell ref="E8:F8"/>
    <mergeCell ref="B9:C9"/>
    <mergeCell ref="E9:F9"/>
    <mergeCell ref="B10:C10"/>
    <mergeCell ref="E10:F10"/>
    <mergeCell ref="B11:C11"/>
    <mergeCell ref="E11:F11"/>
    <mergeCell ref="B12:C12"/>
    <mergeCell ref="E12:F12"/>
    <mergeCell ref="B13:C13"/>
    <mergeCell ref="E13:F13"/>
    <mergeCell ref="B14:C14"/>
    <mergeCell ref="E14:F14"/>
    <mergeCell ref="B15:C15"/>
    <mergeCell ref="E15:F15"/>
    <mergeCell ref="B16:C16"/>
    <mergeCell ref="E16:F16"/>
    <mergeCell ref="B17:C17"/>
    <mergeCell ref="E17:F17"/>
    <mergeCell ref="B18:C18"/>
    <mergeCell ref="E18:F18"/>
    <mergeCell ref="B19:C19"/>
    <mergeCell ref="E19:F19"/>
    <mergeCell ref="B20:C20"/>
    <mergeCell ref="E20:F20"/>
    <mergeCell ref="B21:C21"/>
    <mergeCell ref="E21:F21"/>
    <mergeCell ref="B22:C22"/>
    <mergeCell ref="E22:F22"/>
    <mergeCell ref="B23:C23"/>
    <mergeCell ref="E23:F23"/>
    <mergeCell ref="B24:C24"/>
    <mergeCell ref="E24:F24"/>
    <mergeCell ref="B25:C25"/>
    <mergeCell ref="E25:F25"/>
    <mergeCell ref="B26:C26"/>
    <mergeCell ref="E26:F26"/>
    <mergeCell ref="B27:C27"/>
    <mergeCell ref="E27:F27"/>
    <mergeCell ref="B28:C28"/>
    <mergeCell ref="E28:F28"/>
    <mergeCell ref="B29:C29"/>
    <mergeCell ref="E29:F29"/>
    <mergeCell ref="B30:C30"/>
    <mergeCell ref="E30:F30"/>
    <mergeCell ref="B31:C31"/>
    <mergeCell ref="E31:F31"/>
    <mergeCell ref="B32:C32"/>
    <mergeCell ref="E32:F32"/>
    <mergeCell ref="B33:C33"/>
    <mergeCell ref="E33:F33"/>
    <mergeCell ref="B34:C34"/>
    <mergeCell ref="E34:F34"/>
    <mergeCell ref="B35:C35"/>
    <mergeCell ref="E35:F35"/>
    <mergeCell ref="B36:C36"/>
    <mergeCell ref="E36:F36"/>
    <mergeCell ref="B37:C37"/>
    <mergeCell ref="E37:F37"/>
    <mergeCell ref="B38:C38"/>
    <mergeCell ref="E38:F38"/>
    <mergeCell ref="B39:C39"/>
    <mergeCell ref="E39:F39"/>
    <mergeCell ref="B40:C40"/>
    <mergeCell ref="E40:F40"/>
    <mergeCell ref="B41:C41"/>
    <mergeCell ref="E41:F41"/>
    <mergeCell ref="B42:C42"/>
    <mergeCell ref="E42:F42"/>
    <mergeCell ref="B43:C43"/>
    <mergeCell ref="E43:F43"/>
    <mergeCell ref="B44:C44"/>
    <mergeCell ref="E44:F44"/>
    <mergeCell ref="B45:C45"/>
    <mergeCell ref="E45:F45"/>
    <mergeCell ref="B46:C46"/>
    <mergeCell ref="E46:F46"/>
    <mergeCell ref="B47:C47"/>
    <mergeCell ref="E47:F47"/>
    <mergeCell ref="B48:C48"/>
    <mergeCell ref="E48:F48"/>
    <mergeCell ref="B49:C49"/>
    <mergeCell ref="E49:F49"/>
    <mergeCell ref="B50:C50"/>
    <mergeCell ref="E50:F50"/>
    <mergeCell ref="B51:C51"/>
    <mergeCell ref="E51:F51"/>
    <mergeCell ref="B52:C52"/>
    <mergeCell ref="E52:F52"/>
    <mergeCell ref="B53:C53"/>
    <mergeCell ref="E53:F53"/>
    <mergeCell ref="B54:C54"/>
    <mergeCell ref="E54:F54"/>
    <mergeCell ref="B55:C55"/>
    <mergeCell ref="E55:F55"/>
    <mergeCell ref="B56:C56"/>
    <mergeCell ref="E56:F56"/>
    <mergeCell ref="B57:C57"/>
    <mergeCell ref="E57:F57"/>
    <mergeCell ref="B58:C58"/>
    <mergeCell ref="E58:F58"/>
    <mergeCell ref="B59:C59"/>
    <mergeCell ref="E59:F59"/>
    <mergeCell ref="B60:C60"/>
    <mergeCell ref="E60:F60"/>
    <mergeCell ref="B61:C61"/>
    <mergeCell ref="E61:F61"/>
  </mergeCells>
  <dataValidations count="2">
    <dataValidation allowBlank="true" error="The entered date is in the future or is not in the dd/mm/yyyy format" errorTitle="Invalid Date" operator="lessThanOrEqual" showDropDown="false" showErrorMessage="true" showInputMessage="true" sqref="D6:D61" type="none">
      <formula1>0</formula1>
      <formula2>0</formula2>
    </dataValidation>
    <dataValidation allowBlank="true" operator="between" showDropDown="false" showErrorMessage="true" showInputMessage="true" sqref="E6:E61" type="list">
      <formula1>CURRENCY</formula1>
      <formula2>0</formula2>
    </dataValidation>
  </dataValidations>
  <printOptions headings="false" gridLines="false" gridLinesSet="true" horizontalCentered="false" verticalCentered="false"/>
  <pageMargins left="0.7" right="0.7" top="0.75" bottom="0.75" header="0.511805555555555" footer="0.3"/>
  <pageSetup paperSize="1"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&amp;LRESTRICTED</oddFooter>
  </headerFooter>
  <drawing r:id="rId1"/>
</worksheet>
</file>

<file path=xl/worksheets/sheet8.xml><?xml version="1.0" encoding="utf-8"?>
<worksheet xmlns="http://schemas.openxmlformats.org/spreadsheetml/2006/main" xmlns:r="http://schemas.openxmlformats.org/officeDocument/2006/relationships">
  <sheetPr filterMode="false">
    <pageSetUpPr fitToPage="true"/>
  </sheetPr>
  <dimension ref="B1:O62"/>
  <sheetViews>
    <sheetView windowProtection="false" showFormulas="false" showGridLines="false" showRowColHeaders="false" showZeros="true" rightToLeft="false" tabSelected="false" showOutlineSymbols="true" defaultGridColor="true" view="normal" topLeftCell="A1" colorId="64" zoomScale="100" zoomScaleNormal="100" zoomScalePageLayoutView="100" workbookViewId="0">
      <selection pane="topLeft" activeCell="E7" activeCellId="0" sqref="E7"/>
    </sheetView>
  </sheetViews>
  <sheetFormatPr defaultRowHeight="15"/>
  <cols>
    <col collapsed="false" hidden="false" max="2" min="1" style="0" width="3.64372469635628"/>
    <col collapsed="false" hidden="false" max="4" min="3" style="0" width="8.57085020242915"/>
    <col collapsed="false" hidden="false" max="5" min="5" style="0" width="11.3562753036437"/>
    <col collapsed="false" hidden="false" max="6" min="6" style="0" width="13.2834008097166"/>
    <col collapsed="false" hidden="false" max="7" min="7" style="0" width="8.03238866396761"/>
    <col collapsed="false" hidden="false" max="8" min="8" style="0" width="12.8542510121458"/>
    <col collapsed="false" hidden="false" max="9" min="9" style="0" width="13.2834008097166"/>
    <col collapsed="false" hidden="false" max="10" min="10" style="0" width="13.9271255060729"/>
    <col collapsed="false" hidden="false" max="11" min="11" style="0" width="13.3886639676113"/>
    <col collapsed="false" hidden="false" max="12" min="12" style="0" width="3.8582995951417"/>
    <col collapsed="false" hidden="false" max="13" min="13" style="0" width="3.64372469635628"/>
    <col collapsed="false" hidden="false" max="1025" min="14" style="0" width="8.57085020242915"/>
  </cols>
  <sheetData>
    <row r="1" customFormat="false" ht="15" hidden="false" customHeight="true" outlineLevel="0" collapsed="false"/>
    <row r="2" customFormat="false" ht="8.25" hidden="false" customHeight="true" outlineLevel="0" collapsed="false">
      <c r="B2" s="15"/>
      <c r="C2" s="16"/>
      <c r="D2" s="16"/>
      <c r="E2" s="16"/>
      <c r="F2" s="16"/>
      <c r="G2" s="16"/>
      <c r="H2" s="16"/>
      <c r="I2" s="16"/>
      <c r="J2" s="16"/>
      <c r="K2" s="17" t="n">
        <v>3</v>
      </c>
      <c r="L2" s="17"/>
    </row>
    <row r="3" customFormat="false" ht="15.75" hidden="false" customHeight="false" outlineLevel="0" collapsed="false">
      <c r="B3" s="18"/>
      <c r="C3" s="19" t="s">
        <v>99</v>
      </c>
      <c r="D3" s="19"/>
      <c r="E3" s="19"/>
      <c r="F3" s="19"/>
      <c r="G3" s="19"/>
      <c r="H3" s="19"/>
      <c r="I3" s="19"/>
      <c r="J3" s="19"/>
      <c r="K3" s="17"/>
      <c r="L3" s="17"/>
    </row>
    <row r="4" customFormat="false" ht="15" hidden="false" customHeight="false" outlineLevel="0" collapsed="false">
      <c r="B4" s="18"/>
      <c r="C4" s="20"/>
      <c r="D4" s="11"/>
      <c r="E4" s="11"/>
      <c r="F4" s="11"/>
      <c r="G4" s="20" t="s">
        <v>11</v>
      </c>
      <c r="H4" s="11"/>
      <c r="I4" s="11"/>
      <c r="J4" s="11"/>
      <c r="K4" s="11"/>
      <c r="L4" s="21"/>
    </row>
    <row r="5" customFormat="false" ht="15" hidden="false" customHeight="false" outlineLevel="0" collapsed="false">
      <c r="B5" s="18"/>
      <c r="C5" s="11"/>
      <c r="D5" s="11"/>
      <c r="E5" s="11"/>
      <c r="F5" s="11"/>
      <c r="G5" s="11"/>
      <c r="H5" s="11"/>
      <c r="I5" s="11"/>
      <c r="J5" s="20" t="s">
        <v>12</v>
      </c>
      <c r="K5" s="108" t="n">
        <v>1</v>
      </c>
      <c r="L5" s="21"/>
    </row>
    <row r="6" customFormat="false" ht="15.75" hidden="false" customHeight="false" outlineLevel="0" collapsed="false">
      <c r="B6" s="18"/>
      <c r="C6" s="11"/>
      <c r="D6" s="11"/>
      <c r="E6" s="11"/>
      <c r="F6" s="11"/>
      <c r="G6" s="11"/>
      <c r="H6" s="11"/>
      <c r="I6" s="11"/>
      <c r="J6" s="11"/>
      <c r="K6" s="11"/>
      <c r="L6" s="21"/>
    </row>
    <row r="7" customFormat="false" ht="15.75" hidden="false" customHeight="false" outlineLevel="0" collapsed="false">
      <c r="B7" s="18"/>
      <c r="C7" s="23" t="s">
        <v>13</v>
      </c>
      <c r="D7" s="23"/>
      <c r="E7" s="24"/>
      <c r="F7" s="24"/>
      <c r="G7" s="20"/>
      <c r="H7" s="20" t="s">
        <v>14</v>
      </c>
      <c r="I7" s="24"/>
      <c r="J7" s="24"/>
      <c r="K7" s="20"/>
      <c r="L7" s="21"/>
    </row>
    <row r="8" customFormat="false" ht="15.75" hidden="false" customHeight="false" outlineLevel="0" collapsed="false">
      <c r="B8" s="18"/>
      <c r="C8" s="23" t="s">
        <v>15</v>
      </c>
      <c r="D8" s="23"/>
      <c r="E8" s="24"/>
      <c r="F8" s="24"/>
      <c r="G8" s="20"/>
      <c r="H8" s="25" t="s">
        <v>16</v>
      </c>
      <c r="I8" s="24"/>
      <c r="J8" s="24"/>
      <c r="K8" s="20"/>
      <c r="L8" s="21"/>
    </row>
    <row r="9" customFormat="false" ht="15.75" hidden="false" customHeight="false" outlineLevel="0" collapsed="false">
      <c r="B9" s="18"/>
      <c r="C9" s="23" t="s">
        <v>17</v>
      </c>
      <c r="D9" s="23"/>
      <c r="E9" s="24"/>
      <c r="F9" s="24"/>
      <c r="G9" s="20"/>
      <c r="H9" s="25" t="s">
        <v>100</v>
      </c>
      <c r="I9" s="24"/>
      <c r="J9" s="24"/>
      <c r="K9" s="20"/>
      <c r="L9" s="21"/>
    </row>
    <row r="10" customFormat="false" ht="9" hidden="false" customHeight="true" outlineLevel="0" collapsed="false">
      <c r="B10" s="18"/>
      <c r="C10" s="11"/>
      <c r="D10" s="11"/>
      <c r="E10" s="30"/>
      <c r="F10" s="30"/>
      <c r="G10" s="11"/>
      <c r="H10" s="11"/>
      <c r="I10" s="11"/>
      <c r="J10" s="11"/>
      <c r="K10" s="11"/>
      <c r="L10" s="21"/>
    </row>
    <row r="11" customFormat="false" ht="15.75" hidden="false" customHeight="true" outlineLevel="0" collapsed="false">
      <c r="B11" s="18"/>
      <c r="C11" s="36" t="s">
        <v>101</v>
      </c>
      <c r="D11" s="11"/>
      <c r="E11" s="30"/>
      <c r="F11" s="30"/>
      <c r="G11" s="11"/>
      <c r="H11" s="36"/>
      <c r="I11" s="45"/>
      <c r="J11" s="45"/>
      <c r="K11" s="45"/>
      <c r="L11" s="38"/>
    </row>
    <row r="12" customFormat="false" ht="15" hidden="false" customHeight="true" outlineLevel="0" collapsed="false">
      <c r="B12" s="18"/>
      <c r="C12" s="115"/>
      <c r="D12" s="115"/>
      <c r="E12" s="115"/>
      <c r="F12" s="115"/>
      <c r="G12" s="115"/>
      <c r="H12" s="115"/>
      <c r="I12" s="115"/>
      <c r="J12" s="115"/>
      <c r="K12" s="115"/>
      <c r="L12" s="38"/>
    </row>
    <row r="13" customFormat="false" ht="15" hidden="false" customHeight="true" outlineLevel="0" collapsed="false">
      <c r="B13" s="18"/>
      <c r="C13" s="115"/>
      <c r="D13" s="115"/>
      <c r="E13" s="115"/>
      <c r="F13" s="115"/>
      <c r="G13" s="115"/>
      <c r="H13" s="115"/>
      <c r="I13" s="115"/>
      <c r="J13" s="115"/>
      <c r="K13" s="115"/>
      <c r="L13" s="38"/>
    </row>
    <row r="14" customFormat="false" ht="15" hidden="false" customHeight="true" outlineLevel="0" collapsed="false">
      <c r="B14" s="18"/>
      <c r="C14" s="115"/>
      <c r="D14" s="115"/>
      <c r="E14" s="115"/>
      <c r="F14" s="115"/>
      <c r="G14" s="115"/>
      <c r="H14" s="115"/>
      <c r="I14" s="115"/>
      <c r="J14" s="115"/>
      <c r="K14" s="115"/>
      <c r="L14" s="38"/>
    </row>
    <row r="15" customFormat="false" ht="6" hidden="false" customHeight="true" outlineLevel="0" collapsed="false">
      <c r="B15" s="18"/>
      <c r="C15" s="36"/>
      <c r="D15" s="11"/>
      <c r="E15" s="30"/>
      <c r="F15" s="30"/>
      <c r="G15" s="11"/>
      <c r="H15" s="36"/>
      <c r="I15" s="45"/>
      <c r="J15" s="45"/>
      <c r="K15" s="45"/>
      <c r="L15" s="38"/>
    </row>
    <row r="16" customFormat="false" ht="4.5" hidden="false" customHeight="true" outlineLevel="0" collapsed="false">
      <c r="B16" s="18"/>
      <c r="C16" s="46"/>
      <c r="D16" s="46"/>
      <c r="E16" s="46"/>
      <c r="F16" s="46"/>
      <c r="G16" s="46"/>
      <c r="H16" s="46"/>
      <c r="I16" s="46"/>
      <c r="J16" s="46"/>
      <c r="K16" s="46"/>
      <c r="L16" s="47"/>
    </row>
    <row r="17" customFormat="false" ht="15" hidden="false" customHeight="true" outlineLevel="0" collapsed="false">
      <c r="B17" s="18"/>
      <c r="C17" s="110" t="s">
        <v>98</v>
      </c>
      <c r="D17" s="110"/>
      <c r="E17" s="110"/>
      <c r="F17" s="110"/>
      <c r="G17" s="110"/>
      <c r="H17" s="110"/>
      <c r="I17" s="110"/>
      <c r="J17" s="110"/>
      <c r="K17" s="110"/>
      <c r="L17" s="47"/>
    </row>
    <row r="18" customFormat="false" ht="15" hidden="false" customHeight="false" outlineLevel="0" collapsed="false">
      <c r="B18" s="18"/>
      <c r="C18" s="110"/>
      <c r="D18" s="110"/>
      <c r="E18" s="110"/>
      <c r="F18" s="110"/>
      <c r="G18" s="110"/>
      <c r="H18" s="110"/>
      <c r="I18" s="110"/>
      <c r="J18" s="110"/>
      <c r="K18" s="110"/>
      <c r="L18" s="47"/>
    </row>
    <row r="19" customFormat="false" ht="15" hidden="false" customHeight="true" outlineLevel="0" collapsed="false">
      <c r="B19" s="18"/>
      <c r="C19" s="46"/>
      <c r="D19" s="46"/>
      <c r="E19" s="46"/>
      <c r="F19" s="46"/>
      <c r="G19" s="46"/>
      <c r="H19" s="46"/>
      <c r="I19" s="46"/>
      <c r="J19" s="46"/>
      <c r="K19" s="46"/>
      <c r="L19" s="47"/>
    </row>
    <row r="20" customFormat="false" ht="24.75" hidden="false" customHeight="true" outlineLevel="0" collapsed="false">
      <c r="B20" s="18"/>
      <c r="C20" s="128" t="s">
        <v>73</v>
      </c>
      <c r="D20" s="128"/>
      <c r="E20" s="129" t="s">
        <v>102</v>
      </c>
      <c r="F20" s="130" t="s">
        <v>28</v>
      </c>
      <c r="G20" s="130"/>
      <c r="H20" s="129" t="s">
        <v>29</v>
      </c>
      <c r="I20" s="129" t="s">
        <v>75</v>
      </c>
      <c r="J20" s="128" t="s">
        <v>67</v>
      </c>
      <c r="K20" s="128"/>
      <c r="L20" s="47"/>
    </row>
    <row r="21" customFormat="false" ht="15" hidden="false" customHeight="true" outlineLevel="0" collapsed="false">
      <c r="B21" s="18"/>
      <c r="C21" s="131"/>
      <c r="D21" s="131"/>
      <c r="E21" s="108" t="n">
        <v>1</v>
      </c>
      <c r="F21" s="131" t="s">
        <v>97</v>
      </c>
      <c r="G21" s="131"/>
      <c r="H21" s="127"/>
      <c r="I21" s="127"/>
      <c r="J21" s="132"/>
      <c r="K21" s="132"/>
      <c r="L21" s="47"/>
    </row>
    <row r="22" customFormat="false" ht="15" hidden="false" customHeight="true" outlineLevel="0" collapsed="false">
      <c r="B22" s="18"/>
      <c r="C22" s="131"/>
      <c r="D22" s="131"/>
      <c r="E22" s="108"/>
      <c r="F22" s="131" t="s">
        <v>97</v>
      </c>
      <c r="G22" s="131"/>
      <c r="H22" s="127"/>
      <c r="I22" s="127"/>
      <c r="J22" s="132"/>
      <c r="K22" s="132"/>
      <c r="L22" s="47"/>
    </row>
    <row r="23" customFormat="false" ht="15" hidden="false" customHeight="true" outlineLevel="0" collapsed="false">
      <c r="B23" s="18"/>
      <c r="C23" s="131"/>
      <c r="D23" s="131"/>
      <c r="E23" s="108"/>
      <c r="F23" s="131" t="s">
        <v>97</v>
      </c>
      <c r="G23" s="131"/>
      <c r="H23" s="127"/>
      <c r="I23" s="127"/>
      <c r="J23" s="132"/>
      <c r="K23" s="132"/>
      <c r="L23" s="47"/>
    </row>
    <row r="24" customFormat="false" ht="15" hidden="false" customHeight="true" outlineLevel="0" collapsed="false">
      <c r="B24" s="18"/>
      <c r="C24" s="131"/>
      <c r="D24" s="131"/>
      <c r="E24" s="108"/>
      <c r="F24" s="131" t="s">
        <v>97</v>
      </c>
      <c r="G24" s="131"/>
      <c r="H24" s="127"/>
      <c r="I24" s="127"/>
      <c r="J24" s="132"/>
      <c r="K24" s="132"/>
      <c r="L24" s="47"/>
    </row>
    <row r="25" customFormat="false" ht="15" hidden="false" customHeight="true" outlineLevel="0" collapsed="false">
      <c r="B25" s="18"/>
      <c r="C25" s="131"/>
      <c r="D25" s="131"/>
      <c r="E25" s="108"/>
      <c r="F25" s="131" t="s">
        <v>97</v>
      </c>
      <c r="G25" s="131"/>
      <c r="H25" s="127"/>
      <c r="I25" s="127"/>
      <c r="J25" s="132"/>
      <c r="K25" s="132"/>
      <c r="L25" s="47"/>
    </row>
    <row r="26" customFormat="false" ht="15" hidden="false" customHeight="true" outlineLevel="0" collapsed="false">
      <c r="B26" s="18"/>
      <c r="C26" s="131"/>
      <c r="D26" s="131"/>
      <c r="E26" s="108"/>
      <c r="F26" s="131" t="s">
        <v>97</v>
      </c>
      <c r="G26" s="131"/>
      <c r="H26" s="127"/>
      <c r="I26" s="127"/>
      <c r="J26" s="132"/>
      <c r="K26" s="132"/>
      <c r="L26" s="47"/>
    </row>
    <row r="27" customFormat="false" ht="15" hidden="false" customHeight="true" outlineLevel="0" collapsed="false">
      <c r="B27" s="18"/>
      <c r="C27" s="131"/>
      <c r="D27" s="131"/>
      <c r="E27" s="108"/>
      <c r="F27" s="131" t="s">
        <v>97</v>
      </c>
      <c r="G27" s="131"/>
      <c r="H27" s="127"/>
      <c r="I27" s="127"/>
      <c r="J27" s="132"/>
      <c r="K27" s="132"/>
      <c r="L27" s="47"/>
    </row>
    <row r="28" customFormat="false" ht="15" hidden="false" customHeight="true" outlineLevel="0" collapsed="false">
      <c r="B28" s="18"/>
      <c r="C28" s="131"/>
      <c r="D28" s="131"/>
      <c r="E28" s="108"/>
      <c r="F28" s="131" t="s">
        <v>97</v>
      </c>
      <c r="G28" s="131"/>
      <c r="H28" s="127"/>
      <c r="I28" s="127"/>
      <c r="J28" s="132"/>
      <c r="K28" s="132"/>
      <c r="L28" s="47"/>
    </row>
    <row r="29" customFormat="false" ht="15" hidden="false" customHeight="true" outlineLevel="0" collapsed="false">
      <c r="B29" s="18"/>
      <c r="C29" s="131"/>
      <c r="D29" s="131"/>
      <c r="E29" s="108"/>
      <c r="F29" s="131" t="s">
        <v>97</v>
      </c>
      <c r="G29" s="131"/>
      <c r="H29" s="127"/>
      <c r="I29" s="127"/>
      <c r="J29" s="132"/>
      <c r="K29" s="132"/>
      <c r="L29" s="47"/>
    </row>
    <row r="30" customFormat="false" ht="15" hidden="false" customHeight="true" outlineLevel="0" collapsed="false">
      <c r="B30" s="18"/>
      <c r="C30" s="131"/>
      <c r="D30" s="131"/>
      <c r="E30" s="108"/>
      <c r="F30" s="131" t="s">
        <v>97</v>
      </c>
      <c r="G30" s="131"/>
      <c r="H30" s="127"/>
      <c r="I30" s="127"/>
      <c r="J30" s="132"/>
      <c r="K30" s="132"/>
      <c r="L30" s="47"/>
    </row>
    <row r="31" customFormat="false" ht="15" hidden="false" customHeight="false" outlineLevel="0" collapsed="false">
      <c r="B31" s="18"/>
      <c r="C31" s="20"/>
      <c r="D31" s="52"/>
      <c r="E31" s="52"/>
      <c r="F31" s="52"/>
      <c r="G31" s="20"/>
      <c r="H31" s="20"/>
      <c r="I31" s="20"/>
      <c r="J31" s="20"/>
      <c r="K31" s="20"/>
      <c r="L31" s="21"/>
    </row>
    <row r="32" customFormat="false" ht="15" hidden="false" customHeight="false" outlineLevel="0" collapsed="false">
      <c r="B32" s="18"/>
      <c r="C32" s="20"/>
      <c r="D32" s="20"/>
      <c r="E32" s="20"/>
      <c r="F32" s="20"/>
      <c r="G32" s="20"/>
      <c r="H32" s="53" t="s">
        <v>28</v>
      </c>
      <c r="I32" s="53"/>
      <c r="J32" s="53" t="s">
        <v>29</v>
      </c>
      <c r="K32" s="20"/>
      <c r="L32" s="21"/>
    </row>
    <row r="33" customFormat="false" ht="15" hidden="false" customHeight="false" outlineLevel="0" collapsed="false">
      <c r="B33" s="18"/>
      <c r="C33" s="20"/>
      <c r="D33" s="53" t="s">
        <v>103</v>
      </c>
      <c r="E33" s="53"/>
      <c r="F33" s="53"/>
      <c r="G33" s="53"/>
      <c r="H33" s="54" t="s">
        <v>97</v>
      </c>
      <c r="I33" s="54"/>
      <c r="J33" s="55" t="n">
        <f aca="false">SUM(H21:H29)</f>
        <v>0</v>
      </c>
      <c r="K33" s="20"/>
      <c r="L33" s="21"/>
    </row>
    <row r="34" customFormat="false" ht="15" hidden="false" customHeight="false" outlineLevel="0" collapsed="false">
      <c r="B34" s="18"/>
      <c r="C34" s="20"/>
      <c r="D34" s="56"/>
      <c r="E34" s="56"/>
      <c r="F34" s="56"/>
      <c r="G34" s="56"/>
      <c r="H34" s="20"/>
      <c r="I34" s="20"/>
      <c r="J34" s="20"/>
      <c r="K34" s="20"/>
      <c r="L34" s="21"/>
      <c r="O34" s="133"/>
    </row>
    <row r="35" customFormat="false" ht="15" hidden="false" customHeight="false" outlineLevel="0" collapsed="false">
      <c r="B35" s="18"/>
      <c r="C35" s="63" t="s">
        <v>104</v>
      </c>
      <c r="D35" s="63"/>
      <c r="E35" s="56"/>
      <c r="F35" s="56"/>
      <c r="G35" s="56"/>
      <c r="H35" s="20"/>
      <c r="I35" s="20"/>
      <c r="J35" s="20"/>
      <c r="K35" s="20"/>
      <c r="L35" s="21"/>
      <c r="O35" s="133"/>
    </row>
    <row r="36" customFormat="false" ht="15" hidden="false" customHeight="false" outlineLevel="0" collapsed="false">
      <c r="B36" s="18"/>
      <c r="C36" s="20"/>
      <c r="D36" s="23" t="s">
        <v>105</v>
      </c>
      <c r="E36" s="23"/>
      <c r="F36" s="134"/>
      <c r="G36" s="134"/>
      <c r="H36" s="134"/>
      <c r="I36" s="20"/>
      <c r="J36" s="20"/>
      <c r="K36" s="20"/>
      <c r="L36" s="21"/>
      <c r="O36" s="133"/>
    </row>
    <row r="37" customFormat="false" ht="15" hidden="false" customHeight="false" outlineLevel="0" collapsed="false">
      <c r="B37" s="18"/>
      <c r="C37" s="20"/>
      <c r="D37" s="23" t="s">
        <v>106</v>
      </c>
      <c r="E37" s="23"/>
      <c r="F37" s="135"/>
      <c r="G37" s="135"/>
      <c r="H37" s="135"/>
      <c r="I37" s="20"/>
      <c r="J37" s="20"/>
      <c r="K37" s="20"/>
      <c r="L37" s="21"/>
      <c r="O37" s="133"/>
    </row>
    <row r="38" customFormat="false" ht="15" hidden="false" customHeight="false" outlineLevel="0" collapsed="false">
      <c r="B38" s="18"/>
      <c r="C38" s="20"/>
      <c r="D38" s="23" t="s">
        <v>107</v>
      </c>
      <c r="E38" s="23"/>
      <c r="F38" s="134"/>
      <c r="G38" s="134"/>
      <c r="H38" s="134"/>
      <c r="I38" s="20"/>
      <c r="J38" s="20"/>
      <c r="K38" s="20"/>
      <c r="L38" s="21"/>
      <c r="O38" s="133"/>
    </row>
    <row r="39" customFormat="false" ht="15" hidden="false" customHeight="false" outlineLevel="0" collapsed="false">
      <c r="B39" s="18"/>
      <c r="C39" s="20"/>
      <c r="D39" s="23" t="s">
        <v>108</v>
      </c>
      <c r="E39" s="23"/>
      <c r="F39" s="134"/>
      <c r="G39" s="134"/>
      <c r="H39" s="134"/>
      <c r="I39" s="20"/>
      <c r="J39" s="20"/>
      <c r="K39" s="20"/>
      <c r="L39" s="21"/>
      <c r="O39" s="133"/>
    </row>
    <row r="40" customFormat="false" ht="15" hidden="false" customHeight="false" outlineLevel="0" collapsed="false">
      <c r="B40" s="39"/>
      <c r="C40" s="41"/>
      <c r="D40" s="41"/>
      <c r="E40" s="41"/>
      <c r="F40" s="41"/>
      <c r="G40" s="41"/>
      <c r="H40" s="41"/>
      <c r="I40" s="41"/>
      <c r="J40" s="41"/>
      <c r="K40" s="41"/>
      <c r="L40" s="62"/>
      <c r="O40" s="133"/>
    </row>
    <row r="41" customFormat="false" ht="15" hidden="false" customHeight="false" outlineLevel="0" collapsed="false">
      <c r="B41" s="18"/>
      <c r="C41" s="63" t="s">
        <v>35</v>
      </c>
      <c r="D41" s="63"/>
      <c r="E41" s="20"/>
      <c r="F41" s="20"/>
      <c r="G41" s="20"/>
      <c r="H41" s="20"/>
      <c r="I41" s="20"/>
      <c r="J41" s="20"/>
      <c r="K41" s="20"/>
      <c r="L41" s="21"/>
      <c r="O41" s="136"/>
    </row>
    <row r="42" customFormat="false" ht="16.5" hidden="false" customHeight="true" outlineLevel="0" collapsed="false">
      <c r="B42" s="18"/>
      <c r="C42" s="20"/>
      <c r="D42" s="121" t="s">
        <v>109</v>
      </c>
      <c r="E42" s="121"/>
      <c r="F42" s="121"/>
      <c r="G42" s="121"/>
      <c r="H42" s="121"/>
      <c r="I42" s="121"/>
      <c r="J42" s="121"/>
      <c r="K42" s="121"/>
      <c r="L42" s="21"/>
      <c r="O42" s="136"/>
    </row>
    <row r="43" customFormat="false" ht="16.5" hidden="false" customHeight="true" outlineLevel="0" collapsed="false">
      <c r="B43" s="18"/>
      <c r="C43" s="20"/>
      <c r="D43" s="121"/>
      <c r="E43" s="121"/>
      <c r="F43" s="121"/>
      <c r="G43" s="121"/>
      <c r="H43" s="121"/>
      <c r="I43" s="121"/>
      <c r="J43" s="121"/>
      <c r="K43" s="121"/>
      <c r="L43" s="21"/>
    </row>
    <row r="44" customFormat="false" ht="15" hidden="false" customHeight="false" outlineLevel="0" collapsed="false">
      <c r="B44" s="18"/>
      <c r="C44" s="20"/>
      <c r="D44" s="20"/>
      <c r="E44" s="20"/>
      <c r="F44" s="20"/>
      <c r="G44" s="20"/>
      <c r="H44" s="20"/>
      <c r="I44" s="20"/>
      <c r="J44" s="20"/>
      <c r="K44" s="20"/>
      <c r="L44" s="21"/>
    </row>
    <row r="45" customFormat="false" ht="15" hidden="false" customHeight="false" outlineLevel="0" collapsed="false">
      <c r="B45" s="18"/>
      <c r="C45" s="20"/>
      <c r="D45" s="20"/>
      <c r="E45" s="20"/>
      <c r="H45" s="20"/>
      <c r="I45" s="41"/>
      <c r="J45" s="41"/>
      <c r="L45" s="21"/>
    </row>
    <row r="46" customFormat="false" ht="15" hidden="false" customHeight="false" outlineLevel="0" collapsed="false">
      <c r="B46" s="18"/>
      <c r="C46" s="69" t="s">
        <v>37</v>
      </c>
      <c r="D46" s="69"/>
      <c r="E46" s="69"/>
      <c r="H46" s="70"/>
      <c r="I46" s="70" t="s">
        <v>93</v>
      </c>
      <c r="J46" s="70"/>
      <c r="L46" s="21"/>
    </row>
    <row r="47" customFormat="false" ht="15" hidden="false" customHeight="false" outlineLevel="0" collapsed="false">
      <c r="B47" s="18"/>
      <c r="C47" s="20" t="s">
        <v>39</v>
      </c>
      <c r="D47" s="20"/>
      <c r="E47" s="20" t="str">
        <f aca="false">IF(LEN(E7)&gt;0,E7,"")</f>
        <v/>
      </c>
      <c r="H47" s="20"/>
      <c r="I47" s="20" t="s">
        <v>40</v>
      </c>
      <c r="J47" s="20"/>
      <c r="L47" s="21"/>
    </row>
    <row r="48" customFormat="false" ht="15" hidden="false" customHeight="false" outlineLevel="0" collapsed="false">
      <c r="B48" s="18"/>
      <c r="C48" s="20" t="s">
        <v>41</v>
      </c>
      <c r="D48" s="20"/>
      <c r="E48" s="20"/>
      <c r="F48" s="20"/>
      <c r="G48" s="20"/>
      <c r="H48" s="20"/>
      <c r="I48" s="20" t="s">
        <v>41</v>
      </c>
      <c r="J48" s="20"/>
      <c r="K48" s="20"/>
      <c r="L48" s="21"/>
    </row>
    <row r="49" customFormat="false" ht="29.25" hidden="false" customHeight="true" outlineLevel="0" collapsed="false">
      <c r="B49" s="18"/>
      <c r="C49" s="20"/>
      <c r="D49" s="20"/>
      <c r="E49" s="20"/>
      <c r="F49" s="20"/>
      <c r="G49" s="20"/>
      <c r="H49" s="20"/>
      <c r="I49" s="20"/>
      <c r="J49" s="20"/>
      <c r="K49" s="20"/>
      <c r="L49" s="21"/>
    </row>
    <row r="50" customFormat="false" ht="15" hidden="false" customHeight="false" outlineLevel="0" collapsed="false">
      <c r="B50" s="18"/>
      <c r="C50" s="20"/>
      <c r="D50" s="20"/>
      <c r="E50" s="20"/>
      <c r="F50" s="20"/>
      <c r="G50" s="20"/>
      <c r="H50" s="20"/>
      <c r="I50" s="41"/>
      <c r="J50" s="41"/>
      <c r="K50" s="20"/>
      <c r="L50" s="21"/>
    </row>
    <row r="51" customFormat="false" ht="15" hidden="false" customHeight="false" outlineLevel="0" collapsed="false">
      <c r="B51" s="18"/>
      <c r="C51" s="69" t="s">
        <v>42</v>
      </c>
      <c r="D51" s="69"/>
      <c r="E51" s="69"/>
      <c r="F51" s="20"/>
      <c r="G51" s="20"/>
      <c r="H51" s="20"/>
      <c r="I51" s="70" t="s">
        <v>43</v>
      </c>
      <c r="J51" s="70"/>
      <c r="K51" s="70"/>
      <c r="L51" s="21"/>
    </row>
    <row r="52" customFormat="false" ht="15" hidden="false" customHeight="false" outlineLevel="0" collapsed="false">
      <c r="B52" s="18"/>
      <c r="C52" s="20" t="s">
        <v>41</v>
      </c>
      <c r="D52" s="20"/>
      <c r="E52" s="20"/>
      <c r="F52" s="20"/>
      <c r="G52" s="20"/>
      <c r="H52" s="20"/>
      <c r="I52" s="23" t="s">
        <v>41</v>
      </c>
      <c r="J52" s="23"/>
      <c r="K52" s="23"/>
      <c r="L52" s="21"/>
    </row>
    <row r="53" customFormat="false" ht="15" hidden="false" customHeight="false" outlineLevel="0" collapsed="false">
      <c r="B53" s="18"/>
      <c r="C53" s="20"/>
      <c r="D53" s="20"/>
      <c r="E53" s="20"/>
      <c r="F53" s="20"/>
      <c r="G53" s="20"/>
      <c r="H53" s="20"/>
      <c r="I53" s="20"/>
      <c r="J53" s="20"/>
      <c r="K53" s="20"/>
      <c r="L53" s="21"/>
    </row>
    <row r="54" customFormat="false" ht="15" hidden="false" customHeight="false" outlineLevel="0" collapsed="false">
      <c r="B54" s="31"/>
      <c r="C54" s="57" t="s">
        <v>44</v>
      </c>
      <c r="D54" s="32"/>
      <c r="E54" s="32"/>
      <c r="F54" s="32"/>
      <c r="G54" s="32"/>
      <c r="H54" s="32"/>
      <c r="I54" s="32"/>
      <c r="J54" s="32"/>
      <c r="K54" s="32"/>
      <c r="L54" s="34"/>
    </row>
    <row r="55" customFormat="false" ht="15" hidden="false" customHeight="false" outlineLevel="0" collapsed="false">
      <c r="B55" s="18"/>
      <c r="C55" s="71" t="n">
        <v>1</v>
      </c>
      <c r="D55" s="72" t="s">
        <v>110</v>
      </c>
      <c r="E55" s="72"/>
      <c r="F55" s="71" t="str">
        <f aca="false">IF(IFERROR(VLOOKUP("Packers &amp; Movers",$C$21:$D$30,1,0),"Not Required")="Not Required","Not Required","Required")</f>
        <v>Not Required</v>
      </c>
      <c r="G55" s="20"/>
      <c r="H55" s="20"/>
      <c r="I55" s="20"/>
      <c r="J55" s="20"/>
      <c r="K55" s="20"/>
      <c r="L55" s="21"/>
    </row>
    <row r="56" customFormat="false" ht="15" hidden="false" customHeight="false" outlineLevel="0" collapsed="false">
      <c r="B56" s="18"/>
      <c r="C56" s="71" t="n">
        <v>2</v>
      </c>
      <c r="D56" s="72" t="s">
        <v>111</v>
      </c>
      <c r="E56" s="72"/>
      <c r="F56" s="71" t="str">
        <f aca="false">IF(IFERROR(VLOOKUP("Travel",$C$21:$D$30,1,0),"Not Required")="Not Required","Not Required","Required")</f>
        <v>Not Required</v>
      </c>
      <c r="G56" s="20"/>
      <c r="H56" s="20"/>
      <c r="I56" s="20"/>
      <c r="J56" s="20"/>
      <c r="K56" s="20"/>
      <c r="L56" s="21"/>
    </row>
    <row r="57" customFormat="false" ht="15" hidden="false" customHeight="false" outlineLevel="0" collapsed="false">
      <c r="B57" s="18"/>
      <c r="C57" s="71" t="n">
        <v>3</v>
      </c>
      <c r="D57" s="72" t="s">
        <v>112</v>
      </c>
      <c r="E57" s="72"/>
      <c r="F57" s="71" t="str">
        <f aca="false">IF(IFERROR(VLOOKUP("Brokerage",$C$21:$D$30,1,0),"Not Required")="Not Required","Not Required","Required")</f>
        <v>Not Required</v>
      </c>
      <c r="G57" s="20"/>
      <c r="H57" s="20"/>
      <c r="I57" s="20"/>
      <c r="J57" s="20"/>
      <c r="K57" s="20"/>
      <c r="L57" s="21"/>
    </row>
    <row r="58" customFormat="false" ht="15" hidden="false" customHeight="false" outlineLevel="0" collapsed="false">
      <c r="B58" s="18"/>
      <c r="C58" s="20"/>
      <c r="D58" s="20"/>
      <c r="E58" s="20"/>
      <c r="F58" s="20"/>
      <c r="G58" s="20"/>
      <c r="H58" s="20"/>
      <c r="I58" s="20"/>
      <c r="J58" s="20"/>
      <c r="K58" s="20"/>
      <c r="L58" s="21"/>
    </row>
    <row r="59" customFormat="false" ht="15" hidden="false" customHeight="false" outlineLevel="0" collapsed="false">
      <c r="B59" s="18"/>
      <c r="C59" s="36" t="s">
        <v>50</v>
      </c>
      <c r="D59" s="20"/>
      <c r="E59" s="20"/>
      <c r="F59" s="20"/>
      <c r="G59" s="20"/>
      <c r="H59" s="20"/>
      <c r="I59" s="20"/>
      <c r="J59" s="20"/>
      <c r="K59" s="20"/>
      <c r="L59" s="21"/>
    </row>
    <row r="60" customFormat="false" ht="24.75" hidden="false" customHeight="true" outlineLevel="0" collapsed="false">
      <c r="B60" s="18"/>
      <c r="C60" s="73" t="n">
        <v>1</v>
      </c>
      <c r="D60" s="75" t="s">
        <v>113</v>
      </c>
      <c r="E60" s="75"/>
      <c r="F60" s="75"/>
      <c r="G60" s="75"/>
      <c r="H60" s="75"/>
      <c r="I60" s="75"/>
      <c r="J60" s="75"/>
      <c r="K60" s="75"/>
      <c r="L60" s="21"/>
    </row>
    <row r="61" customFormat="false" ht="10.5" hidden="false" customHeight="true" outlineLevel="0" collapsed="false">
      <c r="B61" s="18"/>
      <c r="C61" s="20"/>
      <c r="D61" s="137"/>
      <c r="E61" s="137"/>
      <c r="F61" s="137"/>
      <c r="G61" s="137"/>
      <c r="H61" s="137"/>
      <c r="I61" s="137"/>
      <c r="J61" s="137"/>
      <c r="K61" s="137"/>
      <c r="L61" s="21"/>
    </row>
    <row r="62" customFormat="false" ht="9" hidden="false" customHeight="true" outlineLevel="0" collapsed="false">
      <c r="B62" s="76"/>
      <c r="C62" s="77" t="s">
        <v>55</v>
      </c>
      <c r="D62" s="78"/>
      <c r="E62" s="78"/>
      <c r="F62" s="78"/>
      <c r="G62" s="78"/>
      <c r="H62" s="79"/>
      <c r="I62" s="79"/>
      <c r="J62" s="79"/>
      <c r="K62" s="79"/>
      <c r="L62" s="80"/>
    </row>
  </sheetData>
  <sheetProtection sheet="true" scenarios="true" selectLockedCells="true"/>
  <mergeCells count="58">
    <mergeCell ref="K2:L3"/>
    <mergeCell ref="C3:J3"/>
    <mergeCell ref="C7:D7"/>
    <mergeCell ref="E7:F7"/>
    <mergeCell ref="I7:J7"/>
    <mergeCell ref="C8:D8"/>
    <mergeCell ref="E8:F8"/>
    <mergeCell ref="I8:J8"/>
    <mergeCell ref="C9:D9"/>
    <mergeCell ref="E9:F9"/>
    <mergeCell ref="I9:J9"/>
    <mergeCell ref="C12:K14"/>
    <mergeCell ref="C16:K16"/>
    <mergeCell ref="C17:K18"/>
    <mergeCell ref="C20:D20"/>
    <mergeCell ref="F20:G20"/>
    <mergeCell ref="J20:K20"/>
    <mergeCell ref="C21:D21"/>
    <mergeCell ref="F21:G21"/>
    <mergeCell ref="J21:K30"/>
    <mergeCell ref="C22:D22"/>
    <mergeCell ref="F22:G22"/>
    <mergeCell ref="C23:D23"/>
    <mergeCell ref="F23:G23"/>
    <mergeCell ref="C24:D24"/>
    <mergeCell ref="F24:G24"/>
    <mergeCell ref="C25:D25"/>
    <mergeCell ref="F25:G25"/>
    <mergeCell ref="C26:D26"/>
    <mergeCell ref="F26:G26"/>
    <mergeCell ref="C27:D27"/>
    <mergeCell ref="F27:G27"/>
    <mergeCell ref="C28:D28"/>
    <mergeCell ref="F28:G28"/>
    <mergeCell ref="C29:D29"/>
    <mergeCell ref="F29:G29"/>
    <mergeCell ref="C30:D30"/>
    <mergeCell ref="F30:G30"/>
    <mergeCell ref="H32:I32"/>
    <mergeCell ref="D33:G33"/>
    <mergeCell ref="H33:I33"/>
    <mergeCell ref="C35:D35"/>
    <mergeCell ref="D36:E36"/>
    <mergeCell ref="F36:H36"/>
    <mergeCell ref="D37:E37"/>
    <mergeCell ref="F37:H37"/>
    <mergeCell ref="D38:E38"/>
    <mergeCell ref="F38:H38"/>
    <mergeCell ref="D39:E39"/>
    <mergeCell ref="F39:H39"/>
    <mergeCell ref="C41:D41"/>
    <mergeCell ref="D42:K42"/>
    <mergeCell ref="I52:K52"/>
    <mergeCell ref="D55:E55"/>
    <mergeCell ref="D56:E56"/>
    <mergeCell ref="D57:E57"/>
    <mergeCell ref="D60:K60"/>
    <mergeCell ref="D61:K61"/>
  </mergeCells>
  <dataValidations count="2">
    <dataValidation allowBlank="true" error="The entered date is in the future or is not in the dd/mm/yyyy format" errorTitle="Invalid Date" operator="lessThanOrEqual" showDropDown="false" showErrorMessage="true" showInputMessage="true" sqref="K5 E21" type="none">
      <formula1>0</formula1>
      <formula2>0</formula2>
    </dataValidation>
    <dataValidation allowBlank="true" operator="between" showDropDown="false" showErrorMessage="true" showInputMessage="true" sqref="F21:F30 H33:H35" type="list">
      <formula1>CURRENCY</formula1>
      <formula2>0</formula2>
    </dataValidation>
  </dataValidations>
  <printOptions headings="false" gridLines="false" gridLinesSet="true" horizontalCentered="false" verticalCentered="false"/>
  <pageMargins left="0.7" right="0.7" top="0.75" bottom="0.75" header="0.511805555555555" footer="0.3"/>
  <pageSetup paperSize="1" scale="100" firstPageNumber="0" fitToWidth="1" fitToHeight="3" pageOrder="downThenOver" orientation="portrait" usePrinterDefaults="false" blackAndWhite="false" draft="false" cellComments="none" useFirstPageNumber="false" horizontalDpi="300" verticalDpi="300" copies="1"/>
  <headerFooter differentFirst="false" differentOddEven="false">
    <oddHeader/>
    <oddFooter>&amp;LRESTRICTED</oddFooter>
  </headerFooter>
  <drawing r:id="rId1"/>
</worksheet>
</file>

<file path=xl/worksheets/sheet9.xml><?xml version="1.0" encoding="utf-8"?>
<worksheet xmlns="http://schemas.openxmlformats.org/spreadsheetml/2006/main" xmlns:r="http://schemas.openxmlformats.org/officeDocument/2006/relationships">
  <sheetPr filterMode="false">
    <pageSetUpPr fitToPage="true"/>
  </sheetPr>
  <dimension ref="B1:O61"/>
  <sheetViews>
    <sheetView windowProtection="false" showFormulas="false" showGridLines="false" showRowColHeaders="false" showZeros="true" rightToLeft="false" tabSelected="false" showOutlineSymbols="true" defaultGridColor="true" view="normal" topLeftCell="A1" colorId="64" zoomScale="100" zoomScaleNormal="100" zoomScalePageLayoutView="100" workbookViewId="0">
      <selection pane="topLeft" activeCell="E7" activeCellId="0" sqref="E7"/>
    </sheetView>
  </sheetViews>
  <sheetFormatPr defaultRowHeight="15"/>
  <cols>
    <col collapsed="false" hidden="false" max="2" min="1" style="0" width="3.64372469635628"/>
    <col collapsed="false" hidden="false" max="4" min="3" style="0" width="8.57085020242915"/>
    <col collapsed="false" hidden="false" max="5" min="5" style="0" width="11.3562753036437"/>
    <col collapsed="false" hidden="false" max="6" min="6" style="0" width="13.2834008097166"/>
    <col collapsed="false" hidden="false" max="7" min="7" style="0" width="8.03238866396761"/>
    <col collapsed="false" hidden="false" max="8" min="8" style="0" width="12.8542510121458"/>
    <col collapsed="false" hidden="false" max="9" min="9" style="0" width="13.2834008097166"/>
    <col collapsed="false" hidden="false" max="10" min="10" style="0" width="13.9271255060729"/>
    <col collapsed="false" hidden="false" max="11" min="11" style="0" width="13.3886639676113"/>
    <col collapsed="false" hidden="false" max="12" min="12" style="0" width="3.8582995951417"/>
    <col collapsed="false" hidden="false" max="13" min="13" style="0" width="3.64372469635628"/>
    <col collapsed="false" hidden="false" max="1025" min="14" style="0" width="8.57085020242915"/>
  </cols>
  <sheetData>
    <row r="1" customFormat="false" ht="15" hidden="false" customHeight="true" outlineLevel="0" collapsed="false"/>
    <row r="2" customFormat="false" ht="8.25" hidden="false" customHeight="true" outlineLevel="0" collapsed="false">
      <c r="B2" s="15"/>
      <c r="C2" s="16"/>
      <c r="D2" s="16"/>
      <c r="E2" s="16"/>
      <c r="F2" s="16"/>
      <c r="G2" s="16"/>
      <c r="H2" s="16"/>
      <c r="I2" s="16"/>
      <c r="J2" s="16"/>
      <c r="K2" s="17" t="n">
        <v>4</v>
      </c>
      <c r="L2" s="17"/>
    </row>
    <row r="3" customFormat="false" ht="15.75" hidden="false" customHeight="false" outlineLevel="0" collapsed="false">
      <c r="B3" s="18"/>
      <c r="C3" s="19" t="s">
        <v>114</v>
      </c>
      <c r="D3" s="19"/>
      <c r="E3" s="19"/>
      <c r="F3" s="19"/>
      <c r="G3" s="19"/>
      <c r="H3" s="19"/>
      <c r="I3" s="19"/>
      <c r="J3" s="19"/>
      <c r="K3" s="17"/>
      <c r="L3" s="17"/>
    </row>
    <row r="4" customFormat="false" ht="15" hidden="false" customHeight="false" outlineLevel="0" collapsed="false">
      <c r="B4" s="18"/>
      <c r="C4" s="20"/>
      <c r="D4" s="11"/>
      <c r="E4" s="11"/>
      <c r="F4" s="11"/>
      <c r="G4" s="20" t="s">
        <v>11</v>
      </c>
      <c r="H4" s="11"/>
      <c r="I4" s="11"/>
      <c r="J4" s="11"/>
      <c r="K4" s="11"/>
      <c r="L4" s="21"/>
    </row>
    <row r="5" customFormat="false" ht="15" hidden="false" customHeight="false" outlineLevel="0" collapsed="false">
      <c r="B5" s="18"/>
      <c r="C5" s="11"/>
      <c r="D5" s="11"/>
      <c r="E5" s="11"/>
      <c r="F5" s="11"/>
      <c r="G5" s="11"/>
      <c r="H5" s="11"/>
      <c r="I5" s="11"/>
      <c r="J5" s="20" t="s">
        <v>12</v>
      </c>
      <c r="K5" s="108" t="n">
        <v>1</v>
      </c>
      <c r="L5" s="21"/>
    </row>
    <row r="6" customFormat="false" ht="15.75" hidden="false" customHeight="false" outlineLevel="0" collapsed="false">
      <c r="B6" s="18"/>
      <c r="C6" s="11"/>
      <c r="D6" s="11"/>
      <c r="E6" s="11"/>
      <c r="F6" s="11"/>
      <c r="G6" s="11"/>
      <c r="H6" s="11"/>
      <c r="I6" s="11"/>
      <c r="J6" s="11"/>
      <c r="K6" s="11"/>
      <c r="L6" s="21"/>
    </row>
    <row r="7" customFormat="false" ht="15.75" hidden="false" customHeight="false" outlineLevel="0" collapsed="false">
      <c r="B7" s="18"/>
      <c r="C7" s="23" t="s">
        <v>13</v>
      </c>
      <c r="D7" s="23"/>
      <c r="E7" s="24"/>
      <c r="F7" s="24"/>
      <c r="G7" s="20"/>
      <c r="H7" s="20" t="s">
        <v>14</v>
      </c>
      <c r="I7" s="24"/>
      <c r="J7" s="24"/>
      <c r="K7" s="20"/>
      <c r="L7" s="21"/>
    </row>
    <row r="8" customFormat="false" ht="15.75" hidden="false" customHeight="false" outlineLevel="0" collapsed="false">
      <c r="B8" s="18"/>
      <c r="C8" s="23" t="s">
        <v>15</v>
      </c>
      <c r="D8" s="23"/>
      <c r="E8" s="24"/>
      <c r="F8" s="24"/>
      <c r="G8" s="20"/>
      <c r="H8" s="25" t="s">
        <v>16</v>
      </c>
      <c r="I8" s="24"/>
      <c r="J8" s="24"/>
      <c r="K8" s="20"/>
      <c r="L8" s="21"/>
    </row>
    <row r="9" customFormat="false" ht="15.75" hidden="false" customHeight="false" outlineLevel="0" collapsed="false">
      <c r="B9" s="18"/>
      <c r="C9" s="23" t="s">
        <v>17</v>
      </c>
      <c r="D9" s="23"/>
      <c r="E9" s="24"/>
      <c r="F9" s="24"/>
      <c r="G9" s="20"/>
      <c r="H9" s="25" t="s">
        <v>100</v>
      </c>
      <c r="I9" s="24"/>
      <c r="J9" s="24"/>
      <c r="K9" s="20"/>
      <c r="L9" s="21"/>
    </row>
    <row r="10" customFormat="false" ht="9" hidden="false" customHeight="true" outlineLevel="0" collapsed="false">
      <c r="B10" s="18"/>
      <c r="C10" s="11"/>
      <c r="D10" s="11"/>
      <c r="E10" s="30"/>
      <c r="F10" s="30"/>
      <c r="G10" s="11"/>
      <c r="H10" s="11"/>
      <c r="I10" s="11"/>
      <c r="J10" s="11"/>
      <c r="K10" s="11"/>
      <c r="L10" s="21"/>
    </row>
    <row r="11" customFormat="false" ht="15" hidden="false" customHeight="true" outlineLevel="0" collapsed="false">
      <c r="B11" s="18"/>
      <c r="C11" s="36" t="s">
        <v>101</v>
      </c>
      <c r="D11" s="11"/>
      <c r="E11" s="30"/>
      <c r="F11" s="30"/>
      <c r="G11" s="11"/>
      <c r="H11" s="36"/>
      <c r="I11" s="45"/>
      <c r="J11" s="45"/>
      <c r="K11" s="45"/>
      <c r="L11" s="38"/>
    </row>
    <row r="12" customFormat="false" ht="15" hidden="false" customHeight="true" outlineLevel="0" collapsed="false">
      <c r="B12" s="18"/>
      <c r="C12" s="115"/>
      <c r="D12" s="115"/>
      <c r="E12" s="115"/>
      <c r="F12" s="115"/>
      <c r="G12" s="115"/>
      <c r="H12" s="115"/>
      <c r="I12" s="115"/>
      <c r="J12" s="115"/>
      <c r="K12" s="115"/>
      <c r="L12" s="38"/>
    </row>
    <row r="13" customFormat="false" ht="15" hidden="false" customHeight="true" outlineLevel="0" collapsed="false">
      <c r="B13" s="18"/>
      <c r="C13" s="115"/>
      <c r="D13" s="115"/>
      <c r="E13" s="115"/>
      <c r="F13" s="115"/>
      <c r="G13" s="115"/>
      <c r="H13" s="115"/>
      <c r="I13" s="115"/>
      <c r="J13" s="115"/>
      <c r="K13" s="115"/>
      <c r="L13" s="38"/>
    </row>
    <row r="14" customFormat="false" ht="15" hidden="false" customHeight="true" outlineLevel="0" collapsed="false">
      <c r="B14" s="18"/>
      <c r="C14" s="115"/>
      <c r="D14" s="115"/>
      <c r="E14" s="115"/>
      <c r="F14" s="115"/>
      <c r="G14" s="115"/>
      <c r="H14" s="115"/>
      <c r="I14" s="115"/>
      <c r="J14" s="115"/>
      <c r="K14" s="115"/>
      <c r="L14" s="38"/>
    </row>
    <row r="15" customFormat="false" ht="5.25" hidden="false" customHeight="true" outlineLevel="0" collapsed="false">
      <c r="B15" s="18"/>
      <c r="C15" s="46"/>
      <c r="D15" s="46"/>
      <c r="E15" s="46"/>
      <c r="F15" s="46"/>
      <c r="G15" s="46"/>
      <c r="H15" s="46"/>
      <c r="I15" s="46"/>
      <c r="J15" s="46"/>
      <c r="K15" s="46"/>
      <c r="L15" s="47"/>
    </row>
    <row r="16" customFormat="false" ht="15" hidden="false" customHeight="true" outlineLevel="0" collapsed="false">
      <c r="B16" s="18"/>
      <c r="C16" s="110" t="s">
        <v>98</v>
      </c>
      <c r="D16" s="110"/>
      <c r="E16" s="110"/>
      <c r="F16" s="110"/>
      <c r="G16" s="110"/>
      <c r="H16" s="110"/>
      <c r="I16" s="110"/>
      <c r="J16" s="110"/>
      <c r="K16" s="110"/>
      <c r="L16" s="47"/>
    </row>
    <row r="17" customFormat="false" ht="15" hidden="false" customHeight="false" outlineLevel="0" collapsed="false">
      <c r="B17" s="18"/>
      <c r="C17" s="110"/>
      <c r="D17" s="110"/>
      <c r="E17" s="110"/>
      <c r="F17" s="110"/>
      <c r="G17" s="110"/>
      <c r="H17" s="110"/>
      <c r="I17" s="110"/>
      <c r="J17" s="110"/>
      <c r="K17" s="110"/>
      <c r="L17" s="47"/>
    </row>
    <row r="18" customFormat="false" ht="15" hidden="false" customHeight="false" outlineLevel="0" collapsed="false">
      <c r="B18" s="18"/>
      <c r="C18" s="46"/>
      <c r="D18" s="46"/>
      <c r="E18" s="46"/>
      <c r="F18" s="46"/>
      <c r="G18" s="46"/>
      <c r="H18" s="46"/>
      <c r="I18" s="46"/>
      <c r="J18" s="46"/>
      <c r="K18" s="46"/>
      <c r="L18" s="47"/>
    </row>
    <row r="19" customFormat="false" ht="24.75" hidden="false" customHeight="true" outlineLevel="0" collapsed="false">
      <c r="B19" s="18"/>
      <c r="C19" s="128" t="s">
        <v>73</v>
      </c>
      <c r="D19" s="128"/>
      <c r="E19" s="129" t="s">
        <v>102</v>
      </c>
      <c r="F19" s="130" t="s">
        <v>28</v>
      </c>
      <c r="G19" s="130"/>
      <c r="H19" s="129" t="s">
        <v>29</v>
      </c>
      <c r="I19" s="129" t="s">
        <v>75</v>
      </c>
      <c r="J19" s="128" t="s">
        <v>67</v>
      </c>
      <c r="K19" s="128"/>
      <c r="L19" s="47"/>
    </row>
    <row r="20" customFormat="false" ht="15" hidden="false" customHeight="true" outlineLevel="0" collapsed="false">
      <c r="B20" s="18"/>
      <c r="C20" s="131"/>
      <c r="D20" s="131"/>
      <c r="E20" s="108" t="n">
        <v>1</v>
      </c>
      <c r="F20" s="131" t="s">
        <v>97</v>
      </c>
      <c r="G20" s="131"/>
      <c r="H20" s="127"/>
      <c r="I20" s="127"/>
      <c r="J20" s="132"/>
      <c r="K20" s="132"/>
      <c r="L20" s="47"/>
    </row>
    <row r="21" customFormat="false" ht="15" hidden="false" customHeight="true" outlineLevel="0" collapsed="false">
      <c r="B21" s="18"/>
      <c r="C21" s="131"/>
      <c r="D21" s="131"/>
      <c r="E21" s="108"/>
      <c r="F21" s="131" t="s">
        <v>97</v>
      </c>
      <c r="G21" s="131"/>
      <c r="H21" s="127"/>
      <c r="I21" s="127"/>
      <c r="J21" s="132"/>
      <c r="K21" s="132"/>
      <c r="L21" s="47"/>
    </row>
    <row r="22" customFormat="false" ht="15" hidden="false" customHeight="true" outlineLevel="0" collapsed="false">
      <c r="B22" s="18"/>
      <c r="C22" s="131"/>
      <c r="D22" s="131"/>
      <c r="E22" s="108"/>
      <c r="F22" s="131" t="s">
        <v>97</v>
      </c>
      <c r="G22" s="131"/>
      <c r="H22" s="127"/>
      <c r="I22" s="127"/>
      <c r="J22" s="132"/>
      <c r="K22" s="132"/>
      <c r="L22" s="47"/>
    </row>
    <row r="23" customFormat="false" ht="15" hidden="false" customHeight="true" outlineLevel="0" collapsed="false">
      <c r="B23" s="18"/>
      <c r="C23" s="131"/>
      <c r="D23" s="131"/>
      <c r="E23" s="108"/>
      <c r="F23" s="131" t="s">
        <v>97</v>
      </c>
      <c r="G23" s="131"/>
      <c r="H23" s="127"/>
      <c r="I23" s="127"/>
      <c r="J23" s="132"/>
      <c r="K23" s="132"/>
      <c r="L23" s="47"/>
    </row>
    <row r="24" customFormat="false" ht="15" hidden="false" customHeight="true" outlineLevel="0" collapsed="false">
      <c r="B24" s="18"/>
      <c r="C24" s="131"/>
      <c r="D24" s="131"/>
      <c r="E24" s="108"/>
      <c r="F24" s="131" t="s">
        <v>97</v>
      </c>
      <c r="G24" s="131"/>
      <c r="H24" s="127"/>
      <c r="I24" s="127"/>
      <c r="J24" s="132"/>
      <c r="K24" s="132"/>
      <c r="L24" s="47"/>
    </row>
    <row r="25" customFormat="false" ht="15" hidden="false" customHeight="true" outlineLevel="0" collapsed="false">
      <c r="B25" s="18"/>
      <c r="C25" s="131"/>
      <c r="D25" s="131"/>
      <c r="E25" s="108"/>
      <c r="F25" s="131" t="s">
        <v>97</v>
      </c>
      <c r="G25" s="131"/>
      <c r="H25" s="127"/>
      <c r="I25" s="127"/>
      <c r="J25" s="132"/>
      <c r="K25" s="132"/>
      <c r="L25" s="47"/>
    </row>
    <row r="26" customFormat="false" ht="15" hidden="false" customHeight="true" outlineLevel="0" collapsed="false">
      <c r="B26" s="18"/>
      <c r="C26" s="131"/>
      <c r="D26" s="131"/>
      <c r="E26" s="108"/>
      <c r="F26" s="131" t="s">
        <v>97</v>
      </c>
      <c r="G26" s="131"/>
      <c r="H26" s="127"/>
      <c r="I26" s="127"/>
      <c r="J26" s="132"/>
      <c r="K26" s="132"/>
      <c r="L26" s="47"/>
    </row>
    <row r="27" customFormat="false" ht="15" hidden="false" customHeight="true" outlineLevel="0" collapsed="false">
      <c r="B27" s="18"/>
      <c r="C27" s="131"/>
      <c r="D27" s="131"/>
      <c r="E27" s="108"/>
      <c r="F27" s="131" t="s">
        <v>97</v>
      </c>
      <c r="G27" s="131"/>
      <c r="H27" s="127"/>
      <c r="I27" s="127"/>
      <c r="J27" s="132"/>
      <c r="K27" s="132"/>
      <c r="L27" s="47"/>
    </row>
    <row r="28" customFormat="false" ht="15" hidden="false" customHeight="true" outlineLevel="0" collapsed="false">
      <c r="B28" s="18"/>
      <c r="C28" s="131"/>
      <c r="D28" s="131"/>
      <c r="E28" s="108"/>
      <c r="F28" s="131" t="s">
        <v>97</v>
      </c>
      <c r="G28" s="131"/>
      <c r="H28" s="127"/>
      <c r="I28" s="127"/>
      <c r="J28" s="132"/>
      <c r="K28" s="132"/>
      <c r="L28" s="47"/>
    </row>
    <row r="29" customFormat="false" ht="15" hidden="false" customHeight="true" outlineLevel="0" collapsed="false">
      <c r="B29" s="18"/>
      <c r="C29" s="131"/>
      <c r="D29" s="131"/>
      <c r="E29" s="108"/>
      <c r="F29" s="131" t="s">
        <v>97</v>
      </c>
      <c r="G29" s="131"/>
      <c r="H29" s="127"/>
      <c r="I29" s="127"/>
      <c r="J29" s="132"/>
      <c r="K29" s="132"/>
      <c r="L29" s="47"/>
    </row>
    <row r="30" customFormat="false" ht="15" hidden="false" customHeight="false" outlineLevel="0" collapsed="false">
      <c r="B30" s="18"/>
      <c r="C30" s="20"/>
      <c r="D30" s="52"/>
      <c r="E30" s="52"/>
      <c r="F30" s="52"/>
      <c r="G30" s="20"/>
      <c r="H30" s="20"/>
      <c r="I30" s="20"/>
      <c r="J30" s="20"/>
      <c r="K30" s="20"/>
      <c r="L30" s="21"/>
    </row>
    <row r="31" customFormat="false" ht="15" hidden="false" customHeight="false" outlineLevel="0" collapsed="false">
      <c r="B31" s="18"/>
      <c r="C31" s="20"/>
      <c r="D31" s="20"/>
      <c r="E31" s="20"/>
      <c r="F31" s="20"/>
      <c r="G31" s="20"/>
      <c r="H31" s="53" t="s">
        <v>28</v>
      </c>
      <c r="I31" s="53"/>
      <c r="J31" s="53" t="s">
        <v>29</v>
      </c>
      <c r="K31" s="20"/>
      <c r="L31" s="21"/>
    </row>
    <row r="32" customFormat="false" ht="15" hidden="false" customHeight="false" outlineLevel="0" collapsed="false">
      <c r="B32" s="18"/>
      <c r="C32" s="20"/>
      <c r="D32" s="53" t="s">
        <v>103</v>
      </c>
      <c r="E32" s="53"/>
      <c r="F32" s="53"/>
      <c r="G32" s="53"/>
      <c r="H32" s="54" t="s">
        <v>97</v>
      </c>
      <c r="I32" s="54"/>
      <c r="J32" s="55" t="n">
        <f aca="false">SUM(H20:H28)</f>
        <v>0</v>
      </c>
      <c r="K32" s="20"/>
      <c r="L32" s="21"/>
    </row>
    <row r="33" customFormat="false" ht="15" hidden="false" customHeight="false" outlineLevel="0" collapsed="false">
      <c r="B33" s="18"/>
      <c r="C33" s="20"/>
      <c r="D33" s="56"/>
      <c r="E33" s="56"/>
      <c r="F33" s="56"/>
      <c r="G33" s="56"/>
      <c r="H33" s="20"/>
      <c r="I33" s="20"/>
      <c r="J33" s="20"/>
      <c r="K33" s="20"/>
      <c r="L33" s="21"/>
    </row>
    <row r="34" customFormat="false" ht="15" hidden="false" customHeight="false" outlineLevel="0" collapsed="false">
      <c r="B34" s="18"/>
      <c r="C34" s="63" t="s">
        <v>104</v>
      </c>
      <c r="D34" s="63"/>
      <c r="E34" s="56"/>
      <c r="F34" s="56"/>
      <c r="G34" s="56"/>
      <c r="H34" s="20"/>
      <c r="I34" s="20"/>
      <c r="J34" s="20"/>
      <c r="K34" s="20"/>
      <c r="L34" s="21"/>
    </row>
    <row r="35" customFormat="false" ht="15" hidden="false" customHeight="false" outlineLevel="0" collapsed="false">
      <c r="B35" s="18"/>
      <c r="C35" s="20"/>
      <c r="D35" s="23" t="s">
        <v>105</v>
      </c>
      <c r="E35" s="23"/>
      <c r="F35" s="134"/>
      <c r="G35" s="134"/>
      <c r="H35" s="134"/>
      <c r="I35" s="20"/>
      <c r="J35" s="20"/>
      <c r="K35" s="20"/>
      <c r="L35" s="21"/>
    </row>
    <row r="36" customFormat="false" ht="15" hidden="false" customHeight="false" outlineLevel="0" collapsed="false">
      <c r="B36" s="18"/>
      <c r="C36" s="20"/>
      <c r="D36" s="23" t="s">
        <v>106</v>
      </c>
      <c r="E36" s="23"/>
      <c r="F36" s="135"/>
      <c r="G36" s="135"/>
      <c r="H36" s="135"/>
      <c r="I36" s="20"/>
      <c r="J36" s="20"/>
      <c r="K36" s="20"/>
      <c r="L36" s="21"/>
    </row>
    <row r="37" customFormat="false" ht="15" hidden="false" customHeight="false" outlineLevel="0" collapsed="false">
      <c r="B37" s="18"/>
      <c r="C37" s="20"/>
      <c r="D37" s="23" t="s">
        <v>107</v>
      </c>
      <c r="E37" s="23"/>
      <c r="F37" s="134"/>
      <c r="G37" s="134"/>
      <c r="H37" s="134"/>
      <c r="I37" s="20"/>
      <c r="J37" s="20"/>
      <c r="K37" s="20"/>
      <c r="L37" s="21"/>
    </row>
    <row r="38" customFormat="false" ht="15" hidden="false" customHeight="false" outlineLevel="0" collapsed="false">
      <c r="B38" s="18"/>
      <c r="C38" s="20"/>
      <c r="D38" s="23" t="s">
        <v>108</v>
      </c>
      <c r="E38" s="23"/>
      <c r="F38" s="134"/>
      <c r="G38" s="134"/>
      <c r="H38" s="134"/>
      <c r="I38" s="20"/>
      <c r="J38" s="20"/>
      <c r="K38" s="20"/>
      <c r="L38" s="21"/>
    </row>
    <row r="39" customFormat="false" ht="15" hidden="false" customHeight="false" outlineLevel="0" collapsed="false">
      <c r="B39" s="39"/>
      <c r="C39" s="41"/>
      <c r="D39" s="41"/>
      <c r="E39" s="41"/>
      <c r="F39" s="41"/>
      <c r="G39" s="41"/>
      <c r="H39" s="41"/>
      <c r="I39" s="41"/>
      <c r="J39" s="41"/>
      <c r="K39" s="41"/>
      <c r="L39" s="62"/>
    </row>
    <row r="40" customFormat="false" ht="15" hidden="false" customHeight="false" outlineLevel="0" collapsed="false">
      <c r="B40" s="18"/>
      <c r="C40" s="63" t="s">
        <v>35</v>
      </c>
      <c r="D40" s="63"/>
      <c r="E40" s="20"/>
      <c r="F40" s="20"/>
      <c r="G40" s="20"/>
      <c r="H40" s="20"/>
      <c r="I40" s="20"/>
      <c r="J40" s="20"/>
      <c r="K40" s="20"/>
      <c r="L40" s="21"/>
    </row>
    <row r="41" customFormat="false" ht="16.5" hidden="false" customHeight="true" outlineLevel="0" collapsed="false">
      <c r="B41" s="18"/>
      <c r="C41" s="20"/>
      <c r="D41" s="121" t="s">
        <v>109</v>
      </c>
      <c r="E41" s="121"/>
      <c r="F41" s="121"/>
      <c r="G41" s="121"/>
      <c r="H41" s="121"/>
      <c r="I41" s="121"/>
      <c r="J41" s="121"/>
      <c r="K41" s="121"/>
      <c r="L41" s="21"/>
    </row>
    <row r="42" customFormat="false" ht="16.5" hidden="false" customHeight="true" outlineLevel="0" collapsed="false">
      <c r="B42" s="18"/>
      <c r="C42" s="20"/>
      <c r="D42" s="121"/>
      <c r="E42" s="121"/>
      <c r="F42" s="121"/>
      <c r="G42" s="121"/>
      <c r="H42" s="121"/>
      <c r="I42" s="121"/>
      <c r="J42" s="121"/>
      <c r="K42" s="121"/>
      <c r="L42" s="21"/>
    </row>
    <row r="43" customFormat="false" ht="15" hidden="false" customHeight="false" outlineLevel="0" collapsed="false">
      <c r="B43" s="18"/>
      <c r="C43" s="20"/>
      <c r="D43" s="20"/>
      <c r="E43" s="20"/>
      <c r="F43" s="20"/>
      <c r="G43" s="20"/>
      <c r="H43" s="20"/>
      <c r="I43" s="20"/>
      <c r="J43" s="20"/>
      <c r="K43" s="20"/>
      <c r="L43" s="21"/>
    </row>
    <row r="44" customFormat="false" ht="15" hidden="false" customHeight="false" outlineLevel="0" collapsed="false">
      <c r="B44" s="18"/>
      <c r="C44" s="20"/>
      <c r="D44" s="20"/>
      <c r="E44" s="20"/>
      <c r="H44" s="20"/>
      <c r="I44" s="41"/>
      <c r="J44" s="41"/>
      <c r="L44" s="21"/>
      <c r="O44" s="136"/>
    </row>
    <row r="45" customFormat="false" ht="15" hidden="false" customHeight="false" outlineLevel="0" collapsed="false">
      <c r="B45" s="18"/>
      <c r="C45" s="69" t="s">
        <v>37</v>
      </c>
      <c r="D45" s="69"/>
      <c r="E45" s="69"/>
      <c r="H45" s="70"/>
      <c r="I45" s="70" t="s">
        <v>93</v>
      </c>
      <c r="J45" s="70"/>
      <c r="L45" s="21"/>
      <c r="O45" s="136"/>
    </row>
    <row r="46" customFormat="false" ht="15" hidden="false" customHeight="false" outlineLevel="0" collapsed="false">
      <c r="B46" s="18"/>
      <c r="C46" s="20" t="s">
        <v>39</v>
      </c>
      <c r="D46" s="20"/>
      <c r="E46" s="20" t="str">
        <f aca="false">IF(LEN(E7)&gt;0, E7,"")</f>
        <v/>
      </c>
      <c r="H46" s="20"/>
      <c r="I46" s="20" t="s">
        <v>40</v>
      </c>
      <c r="J46" s="20"/>
      <c r="L46" s="21"/>
      <c r="O46" s="136"/>
    </row>
    <row r="47" customFormat="false" ht="15" hidden="false" customHeight="false" outlineLevel="0" collapsed="false">
      <c r="B47" s="18"/>
      <c r="C47" s="20" t="s">
        <v>41</v>
      </c>
      <c r="D47" s="20"/>
      <c r="E47" s="20"/>
      <c r="F47" s="20"/>
      <c r="G47" s="20"/>
      <c r="H47" s="20"/>
      <c r="I47" s="20" t="s">
        <v>41</v>
      </c>
      <c r="J47" s="20"/>
      <c r="K47" s="20"/>
      <c r="L47" s="21"/>
    </row>
    <row r="48" customFormat="false" ht="27.75" hidden="false" customHeight="true" outlineLevel="0" collapsed="false">
      <c r="B48" s="18"/>
      <c r="C48" s="20"/>
      <c r="D48" s="20"/>
      <c r="E48" s="20"/>
      <c r="F48" s="20"/>
      <c r="G48" s="20"/>
      <c r="H48" s="20"/>
      <c r="I48" s="20"/>
      <c r="J48" s="20"/>
      <c r="K48" s="20"/>
      <c r="L48" s="21"/>
    </row>
    <row r="49" customFormat="false" ht="15" hidden="false" customHeight="false" outlineLevel="0" collapsed="false">
      <c r="B49" s="18"/>
      <c r="C49" s="20"/>
      <c r="D49" s="20"/>
      <c r="E49" s="20"/>
      <c r="F49" s="20"/>
      <c r="G49" s="20"/>
      <c r="H49" s="20"/>
      <c r="I49" s="41"/>
      <c r="J49" s="41"/>
      <c r="K49" s="20"/>
      <c r="L49" s="21"/>
    </row>
    <row r="50" customFormat="false" ht="15" hidden="false" customHeight="false" outlineLevel="0" collapsed="false">
      <c r="B50" s="18"/>
      <c r="C50" s="69" t="s">
        <v>42</v>
      </c>
      <c r="D50" s="69"/>
      <c r="E50" s="69"/>
      <c r="F50" s="20"/>
      <c r="G50" s="20"/>
      <c r="H50" s="20"/>
      <c r="I50" s="70" t="s">
        <v>43</v>
      </c>
      <c r="J50" s="70"/>
      <c r="K50" s="70"/>
      <c r="L50" s="21"/>
    </row>
    <row r="51" customFormat="false" ht="15" hidden="false" customHeight="false" outlineLevel="0" collapsed="false">
      <c r="B51" s="18"/>
      <c r="C51" s="20" t="s">
        <v>41</v>
      </c>
      <c r="D51" s="20"/>
      <c r="E51" s="20"/>
      <c r="F51" s="20"/>
      <c r="G51" s="20"/>
      <c r="H51" s="20"/>
      <c r="I51" s="23" t="s">
        <v>41</v>
      </c>
      <c r="J51" s="23"/>
      <c r="K51" s="23"/>
      <c r="L51" s="21"/>
    </row>
    <row r="52" customFormat="false" ht="15" hidden="false" customHeight="false" outlineLevel="0" collapsed="false">
      <c r="B52" s="18"/>
      <c r="C52" s="20"/>
      <c r="D52" s="20"/>
      <c r="E52" s="20"/>
      <c r="F52" s="20"/>
      <c r="G52" s="20"/>
      <c r="H52" s="20"/>
      <c r="I52" s="20"/>
      <c r="J52" s="20"/>
      <c r="K52" s="20"/>
      <c r="L52" s="21"/>
    </row>
    <row r="53" customFormat="false" ht="15" hidden="false" customHeight="false" outlineLevel="0" collapsed="false">
      <c r="B53" s="31"/>
      <c r="C53" s="57" t="s">
        <v>44</v>
      </c>
      <c r="D53" s="32"/>
      <c r="E53" s="32"/>
      <c r="F53" s="32"/>
      <c r="G53" s="32"/>
      <c r="H53" s="32"/>
      <c r="I53" s="32"/>
      <c r="J53" s="32"/>
      <c r="K53" s="32"/>
      <c r="L53" s="34"/>
    </row>
    <row r="54" customFormat="false" ht="15" hidden="false" customHeight="false" outlineLevel="0" collapsed="false">
      <c r="B54" s="18"/>
      <c r="C54" s="71" t="n">
        <v>1</v>
      </c>
      <c r="D54" s="72" t="s">
        <v>115</v>
      </c>
      <c r="E54" s="72"/>
      <c r="F54" s="71" t="str">
        <f aca="false">IF(IFERROR(VLOOKUP("Accommodation",$C$20:$D$29,1,0),"Not Required")="Not Required","Not Required","Required")</f>
        <v>Not Required</v>
      </c>
      <c r="G54" s="20"/>
      <c r="H54" s="20"/>
      <c r="I54" s="20"/>
      <c r="J54" s="20"/>
      <c r="K54" s="20"/>
      <c r="L54" s="21"/>
    </row>
    <row r="55" customFormat="false" ht="15" hidden="false" customHeight="false" outlineLevel="0" collapsed="false">
      <c r="B55" s="18"/>
      <c r="C55" s="71" t="n">
        <v>2</v>
      </c>
      <c r="D55" s="72" t="s">
        <v>116</v>
      </c>
      <c r="E55" s="72"/>
      <c r="F55" s="71" t="str">
        <f aca="false">IF(IFERROR(VLOOKUP("School Fees",$C$20:$D$29,1,0),"Not Required")="Not Required","Not Required","Required")</f>
        <v>Not Required</v>
      </c>
      <c r="G55" s="20"/>
      <c r="H55" s="20"/>
      <c r="I55" s="20"/>
      <c r="J55" s="20"/>
      <c r="K55" s="20"/>
      <c r="L55" s="21"/>
    </row>
    <row r="56" customFormat="false" ht="15" hidden="false" customHeight="false" outlineLevel="0" collapsed="false">
      <c r="B56" s="18"/>
      <c r="C56" s="20"/>
      <c r="D56" s="23"/>
      <c r="E56" s="23"/>
      <c r="F56" s="20"/>
      <c r="G56" s="20"/>
      <c r="H56" s="20"/>
      <c r="I56" s="20"/>
      <c r="J56" s="20"/>
      <c r="K56" s="20"/>
      <c r="L56" s="21"/>
    </row>
    <row r="57" customFormat="false" ht="3" hidden="false" customHeight="true" outlineLevel="0" collapsed="false">
      <c r="B57" s="18"/>
      <c r="C57" s="20"/>
      <c r="D57" s="20"/>
      <c r="E57" s="20"/>
      <c r="F57" s="20"/>
      <c r="G57" s="20"/>
      <c r="H57" s="20"/>
      <c r="I57" s="20"/>
      <c r="J57" s="20"/>
      <c r="K57" s="20"/>
      <c r="L57" s="21"/>
    </row>
    <row r="58" customFormat="false" ht="15" hidden="false" customHeight="false" outlineLevel="0" collapsed="false">
      <c r="B58" s="18"/>
      <c r="C58" s="36" t="s">
        <v>50</v>
      </c>
      <c r="D58" s="20"/>
      <c r="E58" s="20"/>
      <c r="F58" s="20"/>
      <c r="G58" s="20"/>
      <c r="H58" s="20"/>
      <c r="I58" s="20"/>
      <c r="J58" s="20"/>
      <c r="K58" s="20"/>
      <c r="L58" s="21"/>
    </row>
    <row r="59" customFormat="false" ht="25.5" hidden="false" customHeight="true" outlineLevel="0" collapsed="false">
      <c r="B59" s="18"/>
      <c r="C59" s="73" t="n">
        <v>1</v>
      </c>
      <c r="D59" s="75" t="s">
        <v>113</v>
      </c>
      <c r="E59" s="75"/>
      <c r="F59" s="75"/>
      <c r="G59" s="75"/>
      <c r="H59" s="75"/>
      <c r="I59" s="75"/>
      <c r="J59" s="75"/>
      <c r="K59" s="75"/>
      <c r="L59" s="21"/>
    </row>
    <row r="60" customFormat="false" ht="17.25" hidden="false" customHeight="true" outlineLevel="0" collapsed="false">
      <c r="B60" s="18"/>
      <c r="C60" s="20"/>
      <c r="D60" s="137"/>
      <c r="E60" s="137"/>
      <c r="F60" s="137"/>
      <c r="G60" s="137"/>
      <c r="H60" s="137"/>
      <c r="I60" s="137"/>
      <c r="J60" s="137"/>
      <c r="K60" s="137"/>
      <c r="L60" s="21"/>
    </row>
    <row r="61" customFormat="false" ht="9" hidden="false" customHeight="true" outlineLevel="0" collapsed="false">
      <c r="B61" s="76"/>
      <c r="C61" s="77" t="s">
        <v>55</v>
      </c>
      <c r="D61" s="78"/>
      <c r="E61" s="78"/>
      <c r="F61" s="78"/>
      <c r="G61" s="78"/>
      <c r="H61" s="79"/>
      <c r="I61" s="79"/>
      <c r="J61" s="79"/>
      <c r="K61" s="79"/>
      <c r="L61" s="80"/>
    </row>
  </sheetData>
  <sheetProtection sheet="true" scenarios="true" selectLockedCells="true"/>
  <mergeCells count="58">
    <mergeCell ref="K2:L3"/>
    <mergeCell ref="C3:J3"/>
    <mergeCell ref="C7:D7"/>
    <mergeCell ref="E7:F7"/>
    <mergeCell ref="I7:J7"/>
    <mergeCell ref="C8:D8"/>
    <mergeCell ref="E8:F8"/>
    <mergeCell ref="I8:J8"/>
    <mergeCell ref="C9:D9"/>
    <mergeCell ref="E9:F9"/>
    <mergeCell ref="I9:J9"/>
    <mergeCell ref="C12:K14"/>
    <mergeCell ref="C15:K15"/>
    <mergeCell ref="C16:K17"/>
    <mergeCell ref="C19:D19"/>
    <mergeCell ref="F19:G19"/>
    <mergeCell ref="J19:K19"/>
    <mergeCell ref="C20:D20"/>
    <mergeCell ref="F20:G20"/>
    <mergeCell ref="J20:K29"/>
    <mergeCell ref="C21:D21"/>
    <mergeCell ref="F21:G21"/>
    <mergeCell ref="C22:D22"/>
    <mergeCell ref="F22:G22"/>
    <mergeCell ref="C23:D23"/>
    <mergeCell ref="F23:G23"/>
    <mergeCell ref="C24:D24"/>
    <mergeCell ref="F24:G24"/>
    <mergeCell ref="C25:D25"/>
    <mergeCell ref="F25:G25"/>
    <mergeCell ref="C26:D26"/>
    <mergeCell ref="F26:G26"/>
    <mergeCell ref="C27:D27"/>
    <mergeCell ref="F27:G27"/>
    <mergeCell ref="C28:D28"/>
    <mergeCell ref="F28:G28"/>
    <mergeCell ref="C29:D29"/>
    <mergeCell ref="F29:G29"/>
    <mergeCell ref="H31:I31"/>
    <mergeCell ref="D32:G32"/>
    <mergeCell ref="H32:I32"/>
    <mergeCell ref="C34:D34"/>
    <mergeCell ref="D35:E35"/>
    <mergeCell ref="F35:H35"/>
    <mergeCell ref="D36:E36"/>
    <mergeCell ref="F36:H36"/>
    <mergeCell ref="D37:E37"/>
    <mergeCell ref="F37:H37"/>
    <mergeCell ref="D38:E38"/>
    <mergeCell ref="F38:H38"/>
    <mergeCell ref="C40:D40"/>
    <mergeCell ref="D41:K41"/>
    <mergeCell ref="I51:K51"/>
    <mergeCell ref="D54:E54"/>
    <mergeCell ref="D55:E55"/>
    <mergeCell ref="D56:E56"/>
    <mergeCell ref="D59:K59"/>
    <mergeCell ref="D60:K60"/>
  </mergeCells>
  <dataValidations count="1">
    <dataValidation allowBlank="true" operator="between" showDropDown="false" showErrorMessage="true" showInputMessage="true" sqref="F20:F29 H32:H34" type="list">
      <formula1>CURRENCY</formula1>
      <formula2>0</formula2>
    </dataValidation>
  </dataValidations>
  <printOptions headings="false" gridLines="false" gridLinesSet="true" horizontalCentered="false" verticalCentered="false"/>
  <pageMargins left="0.7" right="0.7" top="0.75" bottom="0.75" header="0.511805555555555" footer="0.3"/>
  <pageSetup paperSize="1" scale="100" firstPageNumber="0" fitToWidth="1" fitToHeight="3" pageOrder="downThenOver" orientation="portrait" usePrinterDefaults="false" blackAndWhite="false" draft="false" cellComments="none" useFirstPageNumber="false" horizontalDpi="300" verticalDpi="300" copies="1"/>
  <headerFooter differentFirst="false" differentOddEven="false">
    <oddHeader/>
    <oddFooter>&amp;LRESTRICTED</oddFooter>
  </headerFooter>
  <drawing r:id="rId1"/>
</worksheet>
</file>

<file path=xl/worksheets/sheet10.xml><?xml version="1.0" encoding="utf-8"?>
<worksheet xmlns="http://schemas.openxmlformats.org/spreadsheetml/2006/main" xmlns:r="http://schemas.openxmlformats.org/officeDocument/2006/relationships">
  <sheetPr filterMode="false">
    <pageSetUpPr fitToPage="true"/>
  </sheetPr>
  <dimension ref="B1:O60"/>
  <sheetViews>
    <sheetView windowProtection="false" showFormulas="false" showGridLines="false" showRowColHeaders="false" showZeros="true" rightToLeft="false" tabSelected="false" showOutlineSymbols="true" defaultGridColor="true" view="normal" topLeftCell="A1" colorId="64" zoomScale="100" zoomScaleNormal="100" zoomScalePageLayoutView="100" workbookViewId="0">
      <selection pane="topLeft" activeCell="E7" activeCellId="0" sqref="E7"/>
    </sheetView>
  </sheetViews>
  <sheetFormatPr defaultRowHeight="15"/>
  <cols>
    <col collapsed="false" hidden="false" max="2" min="1" style="0" width="3.64372469635628"/>
    <col collapsed="false" hidden="false" max="4" min="3" style="0" width="8.57085020242915"/>
    <col collapsed="false" hidden="false" max="5" min="5" style="0" width="12.5344129554656"/>
    <col collapsed="false" hidden="false" max="6" min="6" style="0" width="13.2834008097166"/>
    <col collapsed="false" hidden="false" max="7" min="7" style="0" width="8.03238866396761"/>
    <col collapsed="false" hidden="false" max="8" min="8" style="0" width="12.8542510121458"/>
    <col collapsed="false" hidden="false" max="9" min="9" style="0" width="13.2834008097166"/>
    <col collapsed="false" hidden="false" max="10" min="10" style="0" width="13.9271255060729"/>
    <col collapsed="false" hidden="false" max="11" min="11" style="0" width="13.3886639676113"/>
    <col collapsed="false" hidden="false" max="12" min="12" style="0" width="3.8582995951417"/>
    <col collapsed="false" hidden="false" max="13" min="13" style="0" width="3.64372469635628"/>
    <col collapsed="false" hidden="false" max="1025" min="14" style="0" width="8.57085020242915"/>
  </cols>
  <sheetData>
    <row r="1" customFormat="false" ht="15" hidden="false" customHeight="true" outlineLevel="0" collapsed="false"/>
    <row r="2" customFormat="false" ht="8.25" hidden="false" customHeight="true" outlineLevel="0" collapsed="false">
      <c r="B2" s="15"/>
      <c r="C2" s="16"/>
      <c r="D2" s="16"/>
      <c r="E2" s="16"/>
      <c r="F2" s="16"/>
      <c r="G2" s="16"/>
      <c r="H2" s="16"/>
      <c r="I2" s="16"/>
      <c r="J2" s="16"/>
      <c r="K2" s="17" t="n">
        <v>5</v>
      </c>
      <c r="L2" s="17"/>
    </row>
    <row r="3" customFormat="false" ht="15.75" hidden="false" customHeight="false" outlineLevel="0" collapsed="false">
      <c r="B3" s="18"/>
      <c r="C3" s="19" t="s">
        <v>117</v>
      </c>
      <c r="D3" s="19"/>
      <c r="E3" s="19"/>
      <c r="F3" s="19"/>
      <c r="G3" s="19"/>
      <c r="H3" s="19"/>
      <c r="I3" s="19"/>
      <c r="J3" s="19"/>
      <c r="K3" s="17"/>
      <c r="L3" s="17"/>
    </row>
    <row r="4" customFormat="false" ht="15" hidden="false" customHeight="false" outlineLevel="0" collapsed="false">
      <c r="B4" s="18"/>
      <c r="C4" s="20"/>
      <c r="D4" s="11"/>
      <c r="E4" s="11"/>
      <c r="F4" s="11"/>
      <c r="G4" s="20" t="s">
        <v>11</v>
      </c>
      <c r="H4" s="11"/>
      <c r="I4" s="11"/>
      <c r="J4" s="11"/>
      <c r="K4" s="11"/>
      <c r="L4" s="21"/>
    </row>
    <row r="5" customFormat="false" ht="15" hidden="false" customHeight="false" outlineLevel="0" collapsed="false">
      <c r="B5" s="18"/>
      <c r="C5" s="11"/>
      <c r="D5" s="11"/>
      <c r="E5" s="11"/>
      <c r="F5" s="11"/>
      <c r="G5" s="11"/>
      <c r="H5" s="11"/>
      <c r="I5" s="11"/>
      <c r="J5" s="20" t="s">
        <v>12</v>
      </c>
      <c r="K5" s="108" t="n">
        <v>1</v>
      </c>
      <c r="L5" s="21"/>
    </row>
    <row r="6" customFormat="false" ht="15.75" hidden="false" customHeight="false" outlineLevel="0" collapsed="false">
      <c r="B6" s="18"/>
      <c r="C6" s="11"/>
      <c r="D6" s="11"/>
      <c r="E6" s="11"/>
      <c r="F6" s="11"/>
      <c r="G6" s="11"/>
      <c r="H6" s="11"/>
      <c r="I6" s="11"/>
      <c r="J6" s="11"/>
      <c r="K6" s="11"/>
      <c r="L6" s="21"/>
    </row>
    <row r="7" customFormat="false" ht="15.75" hidden="false" customHeight="false" outlineLevel="0" collapsed="false">
      <c r="B7" s="18"/>
      <c r="C7" s="23" t="s">
        <v>13</v>
      </c>
      <c r="D7" s="23"/>
      <c r="E7" s="24"/>
      <c r="F7" s="24"/>
      <c r="G7" s="20"/>
      <c r="H7" s="20" t="s">
        <v>14</v>
      </c>
      <c r="I7" s="24"/>
      <c r="J7" s="24"/>
      <c r="K7" s="20"/>
      <c r="L7" s="21"/>
    </row>
    <row r="8" customFormat="false" ht="15.75" hidden="false" customHeight="false" outlineLevel="0" collapsed="false">
      <c r="B8" s="18"/>
      <c r="C8" s="23" t="s">
        <v>15</v>
      </c>
      <c r="D8" s="23"/>
      <c r="E8" s="24"/>
      <c r="F8" s="24"/>
      <c r="G8" s="20"/>
      <c r="H8" s="25" t="s">
        <v>16</v>
      </c>
      <c r="I8" s="24"/>
      <c r="J8" s="24"/>
      <c r="K8" s="20"/>
      <c r="L8" s="21"/>
    </row>
    <row r="9" customFormat="false" ht="24.75" hidden="false" customHeight="false" outlineLevel="0" collapsed="false">
      <c r="B9" s="18"/>
      <c r="C9" s="23" t="s">
        <v>17</v>
      </c>
      <c r="D9" s="23"/>
      <c r="E9" s="24"/>
      <c r="F9" s="24"/>
      <c r="G9" s="20"/>
      <c r="H9" s="138" t="s">
        <v>118</v>
      </c>
      <c r="I9" s="37"/>
      <c r="J9" s="37"/>
      <c r="K9" s="20"/>
      <c r="L9" s="21"/>
    </row>
    <row r="10" customFormat="false" ht="9" hidden="false" customHeight="true" outlineLevel="0" collapsed="false">
      <c r="B10" s="18"/>
      <c r="C10" s="11"/>
      <c r="D10" s="11"/>
      <c r="E10" s="30"/>
      <c r="F10" s="30"/>
      <c r="G10" s="11"/>
      <c r="H10" s="11"/>
      <c r="I10" s="11"/>
      <c r="J10" s="11"/>
      <c r="K10" s="11"/>
      <c r="L10" s="21"/>
    </row>
    <row r="11" customFormat="false" ht="15" hidden="false" customHeight="true" outlineLevel="0" collapsed="false">
      <c r="B11" s="18"/>
      <c r="C11" s="36" t="s">
        <v>101</v>
      </c>
      <c r="D11" s="11"/>
      <c r="E11" s="30"/>
      <c r="F11" s="30"/>
      <c r="G11" s="11"/>
      <c r="H11" s="36"/>
      <c r="I11" s="45"/>
      <c r="J11" s="45"/>
      <c r="K11" s="45"/>
      <c r="L11" s="38"/>
    </row>
    <row r="12" customFormat="false" ht="15" hidden="false" customHeight="true" outlineLevel="0" collapsed="false">
      <c r="B12" s="18"/>
      <c r="C12" s="115"/>
      <c r="D12" s="115"/>
      <c r="E12" s="115"/>
      <c r="F12" s="115"/>
      <c r="G12" s="115"/>
      <c r="H12" s="115"/>
      <c r="I12" s="115"/>
      <c r="J12" s="115"/>
      <c r="K12" s="115"/>
      <c r="L12" s="38"/>
    </row>
    <row r="13" customFormat="false" ht="15" hidden="false" customHeight="true" outlineLevel="0" collapsed="false">
      <c r="B13" s="18"/>
      <c r="C13" s="115"/>
      <c r="D13" s="115"/>
      <c r="E13" s="115"/>
      <c r="F13" s="115"/>
      <c r="G13" s="115"/>
      <c r="H13" s="115"/>
      <c r="I13" s="115"/>
      <c r="J13" s="115"/>
      <c r="K13" s="115"/>
      <c r="L13" s="38"/>
    </row>
    <row r="14" customFormat="false" ht="15" hidden="false" customHeight="true" outlineLevel="0" collapsed="false">
      <c r="B14" s="18"/>
      <c r="C14" s="115"/>
      <c r="D14" s="115"/>
      <c r="E14" s="115"/>
      <c r="F14" s="115"/>
      <c r="G14" s="115"/>
      <c r="H14" s="115"/>
      <c r="I14" s="115"/>
      <c r="J14" s="115"/>
      <c r="K14" s="115"/>
      <c r="L14" s="38"/>
    </row>
    <row r="15" customFormat="false" ht="15" hidden="false" customHeight="false" outlineLevel="0" collapsed="false">
      <c r="B15" s="18"/>
      <c r="C15" s="46" t="s">
        <v>119</v>
      </c>
      <c r="D15" s="46"/>
      <c r="E15" s="46"/>
      <c r="F15" s="46"/>
      <c r="G15" s="46"/>
      <c r="H15" s="46"/>
      <c r="I15" s="46"/>
      <c r="J15" s="46"/>
      <c r="K15" s="46"/>
      <c r="L15" s="47"/>
    </row>
    <row r="16" customFormat="false" ht="15" hidden="false" customHeight="true" outlineLevel="0" collapsed="false">
      <c r="B16" s="18"/>
      <c r="C16" s="110" t="s">
        <v>120</v>
      </c>
      <c r="D16" s="110"/>
      <c r="E16" s="110"/>
      <c r="F16" s="110"/>
      <c r="G16" s="110"/>
      <c r="H16" s="110"/>
      <c r="I16" s="110"/>
      <c r="J16" s="110"/>
      <c r="K16" s="110"/>
      <c r="L16" s="47"/>
    </row>
    <row r="17" customFormat="false" ht="15" hidden="false" customHeight="false" outlineLevel="0" collapsed="false">
      <c r="B17" s="18"/>
      <c r="C17" s="110"/>
      <c r="D17" s="110"/>
      <c r="E17" s="110"/>
      <c r="F17" s="110"/>
      <c r="G17" s="110"/>
      <c r="H17" s="110"/>
      <c r="I17" s="110"/>
      <c r="J17" s="110"/>
      <c r="K17" s="110"/>
      <c r="L17" s="47"/>
    </row>
    <row r="18" customFormat="false" ht="15" hidden="false" customHeight="false" outlineLevel="0" collapsed="false">
      <c r="B18" s="18"/>
      <c r="C18" s="46"/>
      <c r="D18" s="46"/>
      <c r="E18" s="46"/>
      <c r="F18" s="46"/>
      <c r="G18" s="46"/>
      <c r="H18" s="46"/>
      <c r="I18" s="46"/>
      <c r="J18" s="46"/>
      <c r="K18" s="46"/>
      <c r="L18" s="47"/>
    </row>
    <row r="19" customFormat="false" ht="24.75" hidden="false" customHeight="true" outlineLevel="0" collapsed="false">
      <c r="B19" s="18"/>
      <c r="C19" s="128" t="s">
        <v>73</v>
      </c>
      <c r="D19" s="128"/>
      <c r="E19" s="129" t="s">
        <v>102</v>
      </c>
      <c r="F19" s="128" t="s">
        <v>28</v>
      </c>
      <c r="G19" s="128"/>
      <c r="H19" s="128" t="s">
        <v>29</v>
      </c>
      <c r="I19" s="128" t="s">
        <v>75</v>
      </c>
      <c r="J19" s="128" t="s">
        <v>67</v>
      </c>
      <c r="K19" s="128"/>
      <c r="L19" s="47"/>
    </row>
    <row r="20" customFormat="false" ht="15" hidden="false" customHeight="false" outlineLevel="0" collapsed="false">
      <c r="B20" s="18"/>
      <c r="C20" s="102"/>
      <c r="D20" s="102"/>
      <c r="E20" s="108" t="n">
        <v>1</v>
      </c>
      <c r="F20" s="131"/>
      <c r="G20" s="131"/>
      <c r="H20" s="127"/>
      <c r="I20" s="127"/>
      <c r="J20" s="132"/>
      <c r="K20" s="132"/>
      <c r="L20" s="47"/>
    </row>
    <row r="21" customFormat="false" ht="15" hidden="false" customHeight="true" outlineLevel="0" collapsed="false">
      <c r="B21" s="18"/>
      <c r="C21" s="102"/>
      <c r="D21" s="102"/>
      <c r="E21" s="108"/>
      <c r="F21" s="131"/>
      <c r="G21" s="131"/>
      <c r="H21" s="127"/>
      <c r="I21" s="127"/>
      <c r="J21" s="132"/>
      <c r="K21" s="132"/>
      <c r="L21" s="47"/>
    </row>
    <row r="22" customFormat="false" ht="15" hidden="false" customHeight="true" outlineLevel="0" collapsed="false">
      <c r="B22" s="18"/>
      <c r="C22" s="102"/>
      <c r="D22" s="102"/>
      <c r="E22" s="108"/>
      <c r="F22" s="131"/>
      <c r="G22" s="131"/>
      <c r="H22" s="127"/>
      <c r="I22" s="127"/>
      <c r="J22" s="132"/>
      <c r="K22" s="132"/>
      <c r="L22" s="47"/>
    </row>
    <row r="23" customFormat="false" ht="15" hidden="false" customHeight="true" outlineLevel="0" collapsed="false">
      <c r="B23" s="18"/>
      <c r="C23" s="102"/>
      <c r="D23" s="102"/>
      <c r="E23" s="108"/>
      <c r="F23" s="131"/>
      <c r="G23" s="131"/>
      <c r="H23" s="127"/>
      <c r="I23" s="127"/>
      <c r="J23" s="132"/>
      <c r="K23" s="132"/>
      <c r="L23" s="47"/>
    </row>
    <row r="24" customFormat="false" ht="15" hidden="false" customHeight="true" outlineLevel="0" collapsed="false">
      <c r="B24" s="18"/>
      <c r="C24" s="102"/>
      <c r="D24" s="102"/>
      <c r="E24" s="108"/>
      <c r="F24" s="131"/>
      <c r="G24" s="131"/>
      <c r="H24" s="127"/>
      <c r="I24" s="127"/>
      <c r="J24" s="132"/>
      <c r="K24" s="132"/>
      <c r="L24" s="47"/>
    </row>
    <row r="25" customFormat="false" ht="15" hidden="false" customHeight="true" outlineLevel="0" collapsed="false">
      <c r="B25" s="18"/>
      <c r="C25" s="102"/>
      <c r="D25" s="102"/>
      <c r="E25" s="108"/>
      <c r="F25" s="131"/>
      <c r="G25" s="131"/>
      <c r="H25" s="127"/>
      <c r="I25" s="127"/>
      <c r="J25" s="132"/>
      <c r="K25" s="132"/>
      <c r="L25" s="47"/>
    </row>
    <row r="26" customFormat="false" ht="15" hidden="false" customHeight="true" outlineLevel="0" collapsed="false">
      <c r="B26" s="18"/>
      <c r="C26" s="102"/>
      <c r="D26" s="102"/>
      <c r="E26" s="108"/>
      <c r="F26" s="131"/>
      <c r="G26" s="131"/>
      <c r="H26" s="127"/>
      <c r="I26" s="127"/>
      <c r="J26" s="132"/>
      <c r="K26" s="132"/>
      <c r="L26" s="47"/>
    </row>
    <row r="27" customFormat="false" ht="15" hidden="false" customHeight="true" outlineLevel="0" collapsed="false">
      <c r="B27" s="18"/>
      <c r="C27" s="102"/>
      <c r="D27" s="102"/>
      <c r="E27" s="108"/>
      <c r="F27" s="131"/>
      <c r="G27" s="131"/>
      <c r="H27" s="127"/>
      <c r="I27" s="127"/>
      <c r="J27" s="132"/>
      <c r="K27" s="132"/>
      <c r="L27" s="47"/>
    </row>
    <row r="28" customFormat="false" ht="15" hidden="false" customHeight="true" outlineLevel="0" collapsed="false">
      <c r="B28" s="18"/>
      <c r="C28" s="102"/>
      <c r="D28" s="102"/>
      <c r="E28" s="108"/>
      <c r="F28" s="131"/>
      <c r="G28" s="131"/>
      <c r="H28" s="127"/>
      <c r="I28" s="127"/>
      <c r="J28" s="132"/>
      <c r="K28" s="132"/>
      <c r="L28" s="47"/>
    </row>
    <row r="29" customFormat="false" ht="15" hidden="false" customHeight="true" outlineLevel="0" collapsed="false">
      <c r="B29" s="18"/>
      <c r="C29" s="102"/>
      <c r="D29" s="102"/>
      <c r="E29" s="108"/>
      <c r="F29" s="102"/>
      <c r="G29" s="102"/>
      <c r="H29" s="127"/>
      <c r="I29" s="127"/>
      <c r="J29" s="132"/>
      <c r="K29" s="132"/>
      <c r="L29" s="47"/>
    </row>
    <row r="30" customFormat="false" ht="15" hidden="false" customHeight="true" outlineLevel="0" collapsed="false">
      <c r="B30" s="18"/>
      <c r="C30" s="102"/>
      <c r="D30" s="102"/>
      <c r="E30" s="108"/>
      <c r="F30" s="102"/>
      <c r="G30" s="102"/>
      <c r="H30" s="127"/>
      <c r="I30" s="127"/>
      <c r="J30" s="132"/>
      <c r="K30" s="132"/>
      <c r="L30" s="47"/>
    </row>
    <row r="31" customFormat="false" ht="15" hidden="false" customHeight="true" outlineLevel="0" collapsed="false">
      <c r="B31" s="18"/>
      <c r="C31" s="102"/>
      <c r="D31" s="102"/>
      <c r="E31" s="108"/>
      <c r="F31" s="102"/>
      <c r="G31" s="102"/>
      <c r="H31" s="127"/>
      <c r="I31" s="127"/>
      <c r="J31" s="132"/>
      <c r="K31" s="132"/>
      <c r="L31" s="47"/>
    </row>
    <row r="32" customFormat="false" ht="15" hidden="false" customHeight="true" outlineLevel="0" collapsed="false">
      <c r="B32" s="18"/>
      <c r="C32" s="102"/>
      <c r="D32" s="102"/>
      <c r="E32" s="108"/>
      <c r="F32" s="102"/>
      <c r="G32" s="102"/>
      <c r="H32" s="127"/>
      <c r="I32" s="127"/>
      <c r="J32" s="132"/>
      <c r="K32" s="132"/>
      <c r="L32" s="47"/>
    </row>
    <row r="33" customFormat="false" ht="15" hidden="false" customHeight="true" outlineLevel="0" collapsed="false">
      <c r="B33" s="18"/>
      <c r="C33" s="102"/>
      <c r="D33" s="102"/>
      <c r="E33" s="108"/>
      <c r="F33" s="131"/>
      <c r="G33" s="131"/>
      <c r="H33" s="127"/>
      <c r="I33" s="127"/>
      <c r="J33" s="132"/>
      <c r="K33" s="132"/>
      <c r="L33" s="47"/>
    </row>
    <row r="34" customFormat="false" ht="15" hidden="false" customHeight="false" outlineLevel="0" collapsed="false">
      <c r="B34" s="18"/>
      <c r="C34" s="20"/>
      <c r="D34" s="52"/>
      <c r="E34" s="52"/>
      <c r="F34" s="52"/>
      <c r="G34" s="20"/>
      <c r="H34" s="20"/>
      <c r="I34" s="20"/>
      <c r="J34" s="20"/>
      <c r="K34" s="20"/>
      <c r="L34" s="21"/>
    </row>
    <row r="35" customFormat="false" ht="15" hidden="false" customHeight="false" outlineLevel="0" collapsed="false">
      <c r="B35" s="18"/>
      <c r="C35" s="20"/>
      <c r="D35" s="20"/>
      <c r="E35" s="20"/>
      <c r="F35" s="20"/>
      <c r="G35" s="20"/>
      <c r="H35" s="53" t="s">
        <v>28</v>
      </c>
      <c r="I35" s="53"/>
      <c r="J35" s="53" t="s">
        <v>29</v>
      </c>
      <c r="K35" s="20"/>
      <c r="L35" s="21"/>
    </row>
    <row r="36" customFormat="false" ht="15" hidden="false" customHeight="false" outlineLevel="0" collapsed="false">
      <c r="B36" s="18"/>
      <c r="C36" s="20"/>
      <c r="D36" s="53" t="s">
        <v>103</v>
      </c>
      <c r="E36" s="53"/>
      <c r="F36" s="53"/>
      <c r="G36" s="53"/>
      <c r="H36" s="54"/>
      <c r="I36" s="54"/>
      <c r="J36" s="55" t="n">
        <f aca="false">SUM(H20:H33)</f>
        <v>0</v>
      </c>
      <c r="K36" s="20"/>
      <c r="L36" s="21"/>
    </row>
    <row r="37" customFormat="false" ht="15" hidden="false" customHeight="false" outlineLevel="0" collapsed="false">
      <c r="B37" s="39"/>
      <c r="C37" s="41"/>
      <c r="D37" s="41"/>
      <c r="E37" s="41"/>
      <c r="F37" s="41"/>
      <c r="G37" s="41"/>
      <c r="H37" s="41"/>
      <c r="I37" s="41"/>
      <c r="J37" s="41"/>
      <c r="K37" s="41"/>
      <c r="L37" s="62"/>
    </row>
    <row r="38" customFormat="false" ht="15" hidden="false" customHeight="false" outlineLevel="0" collapsed="false">
      <c r="B38" s="18"/>
      <c r="C38" s="63" t="s">
        <v>35</v>
      </c>
      <c r="D38" s="63"/>
      <c r="E38" s="20"/>
      <c r="F38" s="20"/>
      <c r="G38" s="20"/>
      <c r="H38" s="20"/>
      <c r="I38" s="20"/>
      <c r="J38" s="20"/>
      <c r="K38" s="20"/>
      <c r="L38" s="21"/>
    </row>
    <row r="39" customFormat="false" ht="16.5" hidden="false" customHeight="true" outlineLevel="0" collapsed="false">
      <c r="B39" s="18"/>
      <c r="C39" s="20"/>
      <c r="D39" s="121" t="s">
        <v>109</v>
      </c>
      <c r="E39" s="121"/>
      <c r="F39" s="121"/>
      <c r="G39" s="121"/>
      <c r="H39" s="121"/>
      <c r="I39" s="121"/>
      <c r="J39" s="121"/>
      <c r="K39" s="121"/>
      <c r="L39" s="21"/>
    </row>
    <row r="40" customFormat="false" ht="16.5" hidden="false" customHeight="true" outlineLevel="0" collapsed="false">
      <c r="B40" s="18"/>
      <c r="C40" s="20"/>
      <c r="D40" s="121"/>
      <c r="E40" s="121"/>
      <c r="F40" s="121"/>
      <c r="G40" s="121"/>
      <c r="H40" s="121"/>
      <c r="I40" s="121"/>
      <c r="J40" s="121"/>
      <c r="K40" s="121"/>
      <c r="L40" s="21"/>
    </row>
    <row r="41" customFormat="false" ht="15" hidden="false" customHeight="false" outlineLevel="0" collapsed="false">
      <c r="B41" s="18"/>
      <c r="C41" s="20"/>
      <c r="D41" s="20"/>
      <c r="E41" s="20"/>
      <c r="F41" s="20"/>
      <c r="G41" s="20"/>
      <c r="H41" s="20"/>
      <c r="I41" s="20"/>
      <c r="J41" s="20"/>
      <c r="K41" s="20"/>
      <c r="L41" s="21"/>
    </row>
    <row r="42" customFormat="false" ht="15" hidden="false" customHeight="false" outlineLevel="0" collapsed="false">
      <c r="B42" s="18"/>
      <c r="C42" s="20"/>
      <c r="D42" s="20"/>
      <c r="E42" s="20"/>
      <c r="H42" s="20"/>
      <c r="I42" s="41"/>
      <c r="J42" s="41"/>
      <c r="L42" s="21"/>
      <c r="O42" s="136"/>
    </row>
    <row r="43" customFormat="false" ht="15" hidden="false" customHeight="false" outlineLevel="0" collapsed="false">
      <c r="B43" s="18"/>
      <c r="C43" s="69" t="s">
        <v>37</v>
      </c>
      <c r="D43" s="69"/>
      <c r="E43" s="69"/>
      <c r="H43" s="70"/>
      <c r="I43" s="69" t="s">
        <v>42</v>
      </c>
      <c r="J43" s="69"/>
      <c r="K43" s="69"/>
      <c r="L43" s="21"/>
      <c r="O43" s="136"/>
    </row>
    <row r="44" customFormat="false" ht="15" hidden="false" customHeight="false" outlineLevel="0" collapsed="false">
      <c r="B44" s="18"/>
      <c r="C44" s="20" t="s">
        <v>39</v>
      </c>
      <c r="D44" s="20"/>
      <c r="E44" s="20" t="str">
        <f aca="false">IF(LEN(E7)&gt;0,E7,"")</f>
        <v/>
      </c>
      <c r="H44" s="20"/>
      <c r="I44" s="20" t="s">
        <v>41</v>
      </c>
      <c r="J44" s="20"/>
      <c r="L44" s="21"/>
      <c r="O44" s="136"/>
    </row>
    <row r="45" customFormat="false" ht="15" hidden="false" customHeight="false" outlineLevel="0" collapsed="false">
      <c r="B45" s="18"/>
      <c r="C45" s="20" t="s">
        <v>41</v>
      </c>
      <c r="D45" s="20"/>
      <c r="E45" s="20"/>
      <c r="F45" s="20"/>
      <c r="G45" s="20"/>
      <c r="H45" s="20"/>
      <c r="I45" s="20"/>
      <c r="J45" s="20"/>
      <c r="K45" s="20"/>
      <c r="L45" s="21"/>
    </row>
    <row r="46" customFormat="false" ht="32.25" hidden="false" customHeight="true" outlineLevel="0" collapsed="false">
      <c r="B46" s="18"/>
      <c r="C46" s="20"/>
      <c r="D46" s="20"/>
      <c r="E46" s="20"/>
      <c r="F46" s="20"/>
      <c r="G46" s="20"/>
      <c r="H46" s="20"/>
      <c r="I46" s="20"/>
      <c r="J46" s="20"/>
      <c r="K46" s="20"/>
      <c r="L46" s="21"/>
    </row>
    <row r="47" customFormat="false" ht="15" hidden="false" customHeight="false" outlineLevel="0" collapsed="false">
      <c r="B47" s="18"/>
      <c r="C47" s="41"/>
      <c r="D47" s="41"/>
      <c r="E47" s="41"/>
      <c r="F47" s="20"/>
      <c r="G47" s="20"/>
      <c r="H47" s="20"/>
      <c r="I47" s="20"/>
      <c r="J47" s="20"/>
      <c r="K47" s="20"/>
      <c r="L47" s="21"/>
    </row>
    <row r="48" customFormat="false" ht="15" hidden="false" customHeight="false" outlineLevel="0" collapsed="false">
      <c r="B48" s="18"/>
      <c r="C48" s="70" t="s">
        <v>43</v>
      </c>
      <c r="D48" s="70"/>
      <c r="E48" s="70"/>
      <c r="F48" s="20"/>
      <c r="G48" s="20"/>
      <c r="H48" s="20"/>
      <c r="I48" s="70"/>
      <c r="J48" s="70"/>
      <c r="K48" s="70"/>
      <c r="L48" s="21"/>
    </row>
    <row r="49" customFormat="false" ht="15" hidden="false" customHeight="false" outlineLevel="0" collapsed="false">
      <c r="B49" s="18"/>
      <c r="C49" s="20" t="s">
        <v>41</v>
      </c>
      <c r="D49" s="20"/>
      <c r="E49" s="20"/>
      <c r="F49" s="20"/>
      <c r="G49" s="20"/>
      <c r="H49" s="20"/>
      <c r="I49" s="23"/>
      <c r="J49" s="23"/>
      <c r="K49" s="23"/>
      <c r="L49" s="21"/>
    </row>
    <row r="50" customFormat="false" ht="15" hidden="false" customHeight="false" outlineLevel="0" collapsed="false">
      <c r="B50" s="18"/>
      <c r="C50" s="20"/>
      <c r="D50" s="20"/>
      <c r="E50" s="20"/>
      <c r="F50" s="20"/>
      <c r="G50" s="20"/>
      <c r="H50" s="20"/>
      <c r="I50" s="20"/>
      <c r="J50" s="20"/>
      <c r="K50" s="20"/>
      <c r="L50" s="21"/>
    </row>
    <row r="51" customFormat="false" ht="15" hidden="false" customHeight="false" outlineLevel="0" collapsed="false">
      <c r="B51" s="31"/>
      <c r="C51" s="57" t="s">
        <v>44</v>
      </c>
      <c r="D51" s="32"/>
      <c r="E51" s="32"/>
      <c r="F51" s="32"/>
      <c r="G51" s="32"/>
      <c r="H51" s="32"/>
      <c r="I51" s="32"/>
      <c r="J51" s="32"/>
      <c r="K51" s="32"/>
      <c r="L51" s="34"/>
    </row>
    <row r="52" customFormat="false" ht="15" hidden="false" customHeight="false" outlineLevel="0" collapsed="false">
      <c r="B52" s="18"/>
      <c r="C52" s="71" t="n">
        <v>1</v>
      </c>
      <c r="D52" s="72" t="s">
        <v>121</v>
      </c>
      <c r="E52" s="72"/>
      <c r="F52" s="71" t="s">
        <v>122</v>
      </c>
      <c r="G52" s="20"/>
      <c r="H52" s="20"/>
      <c r="I52" s="20"/>
      <c r="J52" s="20"/>
      <c r="K52" s="20"/>
      <c r="L52" s="21"/>
    </row>
    <row r="53" customFormat="false" ht="15" hidden="false" customHeight="false" outlineLevel="0" collapsed="false">
      <c r="B53" s="18"/>
      <c r="C53" s="71" t="n">
        <v>2</v>
      </c>
      <c r="D53" s="72" t="s">
        <v>115</v>
      </c>
      <c r="E53" s="72"/>
      <c r="F53" s="71" t="str">
        <f aca="false">IF(IFERROR(VLOOKUP("Accommodation",$C$20:$D$33,1,0),"Not Required")="Not Required","Not Required","Required")</f>
        <v>Not Required</v>
      </c>
      <c r="G53" s="20"/>
      <c r="H53" s="20"/>
      <c r="I53" s="20"/>
      <c r="J53" s="20"/>
      <c r="K53" s="20"/>
      <c r="L53" s="21"/>
    </row>
    <row r="54" customFormat="false" ht="15" hidden="false" customHeight="false" outlineLevel="0" collapsed="false">
      <c r="B54" s="18"/>
      <c r="C54" s="71" t="n">
        <v>3</v>
      </c>
      <c r="D54" s="72" t="s">
        <v>46</v>
      </c>
      <c r="E54" s="72"/>
      <c r="F54" s="71" t="str">
        <f aca="false">IF(IFERROR(VLOOKUP("Car / Taxi / Train Fare",$C$20:$D$33,1,0),"Not Required")="Not Required","Not Required","Required")</f>
        <v>Not Required</v>
      </c>
      <c r="G54" s="20"/>
      <c r="H54" s="20"/>
      <c r="I54" s="20"/>
      <c r="J54" s="20"/>
      <c r="K54" s="20"/>
      <c r="L54" s="21"/>
    </row>
    <row r="55" customFormat="false" ht="15" hidden="false" customHeight="false" outlineLevel="0" collapsed="false">
      <c r="B55" s="18"/>
      <c r="C55" s="71" t="n">
        <v>4</v>
      </c>
      <c r="D55" s="72" t="s">
        <v>123</v>
      </c>
      <c r="E55" s="72"/>
      <c r="F55" s="71" t="str">
        <f aca="false">IF(IFERROR(VLOOKUP("Food expenses",$C$20:$D$33,1,0),"Not Required")="Not Required","Not Required","Required")</f>
        <v>Not Required</v>
      </c>
      <c r="G55" s="20"/>
      <c r="H55" s="20"/>
      <c r="I55" s="20"/>
      <c r="J55" s="20"/>
      <c r="K55" s="20"/>
      <c r="L55" s="21"/>
    </row>
    <row r="56" customFormat="false" ht="15" hidden="false" customHeight="false" outlineLevel="0" collapsed="false">
      <c r="B56" s="18"/>
      <c r="C56" s="71" t="n">
        <v>5</v>
      </c>
      <c r="D56" s="72" t="s">
        <v>124</v>
      </c>
      <c r="E56" s="72"/>
      <c r="F56" s="71" t="str">
        <f aca="false">IF(IFERROR(VLOOKUP("Client Entertainment",$C$20:$D$33,1,0),"Not Required")="Not Required","Not Required","Required")</f>
        <v>Not Required</v>
      </c>
      <c r="G56" s="20"/>
      <c r="H56" s="20"/>
      <c r="I56" s="20"/>
      <c r="J56" s="20"/>
      <c r="K56" s="20"/>
      <c r="L56" s="21"/>
    </row>
    <row r="57" customFormat="false" ht="15" hidden="false" customHeight="false" outlineLevel="0" collapsed="false">
      <c r="B57" s="18"/>
      <c r="C57" s="71" t="n">
        <v>6</v>
      </c>
      <c r="D57" s="72" t="s">
        <v>125</v>
      </c>
      <c r="E57" s="72"/>
      <c r="F57" s="71" t="str">
        <f aca="false">IF(IFERROR(VLOOKUP("Dept. - Staff Welfare",$C$20:$D$33,1,0),"Not Required")="Not Required","Not Required","Required")</f>
        <v>Not Required</v>
      </c>
      <c r="G57" s="20"/>
      <c r="H57" s="20"/>
      <c r="I57" s="20"/>
      <c r="J57" s="20"/>
      <c r="K57" s="20"/>
      <c r="L57" s="21"/>
    </row>
    <row r="58" customFormat="false" ht="15" hidden="false" customHeight="false" outlineLevel="0" collapsed="false">
      <c r="B58" s="18"/>
      <c r="C58" s="71" t="n">
        <v>7</v>
      </c>
      <c r="D58" s="72" t="s">
        <v>126</v>
      </c>
      <c r="E58" s="72"/>
      <c r="F58" s="71" t="str">
        <f aca="false">IF(IFERROR(VLOOKUP("Miscellaneous",$C$20:$D$33,1,0),"Not Required")="Not Required","Not Required","Required")</f>
        <v>Not Required</v>
      </c>
      <c r="G58" s="20"/>
      <c r="H58" s="20"/>
      <c r="I58" s="20"/>
      <c r="J58" s="20"/>
      <c r="K58" s="20"/>
      <c r="L58" s="21"/>
    </row>
    <row r="59" customFormat="false" ht="12.75" hidden="false" customHeight="true" outlineLevel="0" collapsed="false">
      <c r="B59" s="18"/>
      <c r="C59" s="20"/>
      <c r="D59" s="137"/>
      <c r="E59" s="137"/>
      <c r="F59" s="137"/>
      <c r="G59" s="137"/>
      <c r="H59" s="137"/>
      <c r="I59" s="137"/>
      <c r="J59" s="137"/>
      <c r="K59" s="137"/>
      <c r="L59" s="21"/>
    </row>
    <row r="60" customFormat="false" ht="9" hidden="false" customHeight="true" outlineLevel="0" collapsed="false">
      <c r="B60" s="76"/>
      <c r="C60" s="77" t="s">
        <v>55</v>
      </c>
      <c r="D60" s="78"/>
      <c r="E60" s="78"/>
      <c r="F60" s="78"/>
      <c r="G60" s="78"/>
      <c r="H60" s="79"/>
      <c r="I60" s="79"/>
      <c r="J60" s="79"/>
      <c r="K60" s="79"/>
      <c r="L60" s="80"/>
    </row>
  </sheetData>
  <sheetProtection sheet="true" scenarios="true" selectLockedCells="true"/>
  <mergeCells count="60">
    <mergeCell ref="K2:L3"/>
    <mergeCell ref="C3:J3"/>
    <mergeCell ref="C7:D7"/>
    <mergeCell ref="E7:F7"/>
    <mergeCell ref="I7:J7"/>
    <mergeCell ref="C8:D8"/>
    <mergeCell ref="E8:F8"/>
    <mergeCell ref="I8:J8"/>
    <mergeCell ref="C9:D9"/>
    <mergeCell ref="E9:F9"/>
    <mergeCell ref="I9:J9"/>
    <mergeCell ref="C12:K14"/>
    <mergeCell ref="C15:K15"/>
    <mergeCell ref="C16:K17"/>
    <mergeCell ref="C19:D19"/>
    <mergeCell ref="F19:G19"/>
    <mergeCell ref="J19:K19"/>
    <mergeCell ref="C20:D20"/>
    <mergeCell ref="F20:G20"/>
    <mergeCell ref="J20:K33"/>
    <mergeCell ref="C21:D21"/>
    <mergeCell ref="F21:G21"/>
    <mergeCell ref="C22:D22"/>
    <mergeCell ref="F22:G22"/>
    <mergeCell ref="C23:D23"/>
    <mergeCell ref="F23:G23"/>
    <mergeCell ref="C24:D24"/>
    <mergeCell ref="F24:G24"/>
    <mergeCell ref="C25:D25"/>
    <mergeCell ref="F25:G25"/>
    <mergeCell ref="C26:D26"/>
    <mergeCell ref="F26:G26"/>
    <mergeCell ref="C27:D27"/>
    <mergeCell ref="F27:G27"/>
    <mergeCell ref="C28:D28"/>
    <mergeCell ref="F28:G28"/>
    <mergeCell ref="C29:D29"/>
    <mergeCell ref="F29:G29"/>
    <mergeCell ref="C30:D30"/>
    <mergeCell ref="F30:G30"/>
    <mergeCell ref="C31:D31"/>
    <mergeCell ref="F31:G31"/>
    <mergeCell ref="C32:D32"/>
    <mergeCell ref="F32:G32"/>
    <mergeCell ref="C33:D33"/>
    <mergeCell ref="F33:G33"/>
    <mergeCell ref="H35:I35"/>
    <mergeCell ref="D36:G36"/>
    <mergeCell ref="H36:I36"/>
    <mergeCell ref="C38:D38"/>
    <mergeCell ref="D39:K39"/>
    <mergeCell ref="I49:K49"/>
    <mergeCell ref="D52:E52"/>
    <mergeCell ref="D53:E53"/>
    <mergeCell ref="D54:E54"/>
    <mergeCell ref="D55:E55"/>
    <mergeCell ref="D56:E56"/>
    <mergeCell ref="D57:E57"/>
    <mergeCell ref="D58:E58"/>
    <mergeCell ref="D59:K59"/>
  </mergeCells>
  <dataValidations count="1">
    <dataValidation allowBlank="true" operator="between" showDropDown="false" showErrorMessage="true" showInputMessage="true" sqref="F20:F33 H36" type="list">
      <formula1>CURRENCY</formula1>
      <formula2>0</formula2>
    </dataValidation>
  </dataValidations>
  <printOptions headings="false" gridLines="false" gridLinesSet="true" horizontalCentered="false" verticalCentered="false"/>
  <pageMargins left="0.7" right="0.7" top="0.75" bottom="0.75" header="0.511805555555555" footer="0.3"/>
  <pageSetup paperSize="1" scale="100" firstPageNumber="0" fitToWidth="1" fitToHeight="3" pageOrder="downThenOver" orientation="portrait" usePrinterDefaults="false" blackAndWhite="false" draft="false" cellComments="none" useFirstPageNumber="false" horizontalDpi="300" verticalDpi="300" copies="1"/>
  <headerFooter differentFirst="false" differentOddEven="false">
    <oddHeader/>
    <oddFooter>&amp;LRESTRICTED</oddFooter>
  </headerFooter>
  <drawing r:id="rId1"/>
</worksheet>
</file>

<file path=xl/worksheets/sheet11.xml><?xml version="1.0" encoding="utf-8"?>
<worksheet xmlns="http://schemas.openxmlformats.org/spreadsheetml/2006/main" xmlns:r="http://schemas.openxmlformats.org/officeDocument/2006/relationships">
  <sheetPr filterMode="false">
    <pageSetUpPr fitToPage="true"/>
  </sheetPr>
  <dimension ref="B1:L62"/>
  <sheetViews>
    <sheetView windowProtection="false" showFormulas="false" showGridLines="false" showRowColHeaders="false" showZeros="true" rightToLeft="false" tabSelected="true" showOutlineSymbols="true" defaultGridColor="true" view="normal" topLeftCell="A4" colorId="64" zoomScale="100" zoomScaleNormal="100" zoomScalePageLayoutView="100" workbookViewId="0">
      <selection pane="topLeft" activeCell="C12" activeCellId="0" sqref="C12"/>
    </sheetView>
  </sheetViews>
  <sheetFormatPr defaultRowHeight="15"/>
  <cols>
    <col collapsed="false" hidden="false" max="2" min="1" style="0" width="3.64372469635628"/>
    <col collapsed="false" hidden="false" max="4" min="3" style="0" width="8.57085020242915"/>
    <col collapsed="false" hidden="false" max="5" min="5" style="0" width="12.8542510121458"/>
    <col collapsed="false" hidden="false" max="6" min="6" style="0" width="13.2834008097166"/>
    <col collapsed="false" hidden="false" max="7" min="7" style="0" width="8.03238866396761"/>
    <col collapsed="false" hidden="false" max="8" min="8" style="0" width="12.8542510121458"/>
    <col collapsed="false" hidden="false" max="9" min="9" style="0" width="13.2834008097166"/>
    <col collapsed="false" hidden="false" max="10" min="10" style="0" width="13.9271255060729"/>
    <col collapsed="false" hidden="false" max="11" min="11" style="0" width="13.3886639676113"/>
    <col collapsed="false" hidden="false" max="12" min="12" style="0" width="3.8582995951417"/>
    <col collapsed="false" hidden="false" max="13" min="13" style="0" width="3.64372469635628"/>
    <col collapsed="false" hidden="false" max="1025" min="14" style="0" width="8.57085020242915"/>
  </cols>
  <sheetData>
    <row r="1" customFormat="false" ht="15" hidden="false" customHeight="true" outlineLevel="0" collapsed="false"/>
    <row r="2" customFormat="false" ht="8.25" hidden="false" customHeight="true" outlineLevel="0" collapsed="false">
      <c r="B2" s="15"/>
      <c r="C2" s="16"/>
      <c r="D2" s="16"/>
      <c r="E2" s="16"/>
      <c r="F2" s="16"/>
      <c r="G2" s="16"/>
      <c r="H2" s="16"/>
      <c r="I2" s="16"/>
      <c r="J2" s="16"/>
      <c r="K2" s="17" t="n">
        <v>6</v>
      </c>
      <c r="L2" s="17"/>
    </row>
    <row r="3" customFormat="false" ht="15.75" hidden="false" customHeight="false" outlineLevel="0" collapsed="false">
      <c r="B3" s="18"/>
      <c r="C3" s="19" t="s">
        <v>127</v>
      </c>
      <c r="D3" s="19"/>
      <c r="E3" s="19"/>
      <c r="F3" s="19"/>
      <c r="G3" s="19"/>
      <c r="H3" s="19"/>
      <c r="I3" s="19"/>
      <c r="J3" s="19"/>
      <c r="K3" s="17"/>
      <c r="L3" s="17"/>
    </row>
    <row r="4" customFormat="false" ht="15" hidden="false" customHeight="false" outlineLevel="0" collapsed="false">
      <c r="B4" s="18"/>
      <c r="C4" s="20"/>
      <c r="D4" s="11"/>
      <c r="E4" s="11"/>
      <c r="F4" s="11"/>
      <c r="G4" s="20" t="s">
        <v>11</v>
      </c>
      <c r="H4" s="11"/>
      <c r="I4" s="11"/>
      <c r="J4" s="11"/>
      <c r="K4" s="11"/>
      <c r="L4" s="21"/>
    </row>
    <row r="5" customFormat="false" ht="15" hidden="false" customHeight="false" outlineLevel="0" collapsed="false">
      <c r="B5" s="18"/>
      <c r="C5" s="11"/>
      <c r="D5" s="11"/>
      <c r="E5" s="11"/>
      <c r="F5" s="11"/>
      <c r="G5" s="11"/>
      <c r="H5" s="11"/>
      <c r="I5" s="11"/>
      <c r="J5" s="20" t="s">
        <v>12</v>
      </c>
      <c r="K5" s="108" t="n">
        <v>42926</v>
      </c>
      <c r="L5" s="21"/>
    </row>
    <row r="6" customFormat="false" ht="15.75" hidden="false" customHeight="false" outlineLevel="0" collapsed="false">
      <c r="B6" s="18"/>
      <c r="C6" s="11"/>
      <c r="D6" s="11"/>
      <c r="E6" s="11"/>
      <c r="F6" s="11"/>
      <c r="G6" s="11"/>
      <c r="H6" s="11"/>
      <c r="I6" s="11"/>
      <c r="J6" s="11"/>
      <c r="K6" s="11"/>
      <c r="L6" s="21"/>
    </row>
    <row r="7" customFormat="false" ht="15.75" hidden="false" customHeight="false" outlineLevel="0" collapsed="false">
      <c r="B7" s="18"/>
      <c r="C7" s="23" t="s">
        <v>13</v>
      </c>
      <c r="D7" s="23"/>
      <c r="E7" s="24" t="s">
        <v>128</v>
      </c>
      <c r="F7" s="24"/>
      <c r="G7" s="20"/>
      <c r="H7" s="20" t="s">
        <v>14</v>
      </c>
      <c r="I7" s="24" t="n">
        <v>44068781</v>
      </c>
      <c r="J7" s="24"/>
      <c r="K7" s="20"/>
      <c r="L7" s="21"/>
    </row>
    <row r="8" customFormat="false" ht="15.75" hidden="false" customHeight="false" outlineLevel="0" collapsed="false">
      <c r="B8" s="18"/>
      <c r="C8" s="23" t="s">
        <v>15</v>
      </c>
      <c r="D8" s="23"/>
      <c r="E8" s="24" t="s">
        <v>129</v>
      </c>
      <c r="F8" s="24"/>
      <c r="G8" s="20"/>
      <c r="H8" s="25" t="s">
        <v>16</v>
      </c>
      <c r="I8" s="24" t="s">
        <v>130</v>
      </c>
      <c r="J8" s="24"/>
      <c r="K8" s="20"/>
      <c r="L8" s="21"/>
    </row>
    <row r="9" customFormat="false" ht="15.75" hidden="false" customHeight="true" outlineLevel="0" collapsed="false">
      <c r="B9" s="18"/>
      <c r="C9" s="23" t="s">
        <v>17</v>
      </c>
      <c r="D9" s="23"/>
      <c r="E9" s="24" t="s">
        <v>131</v>
      </c>
      <c r="F9" s="24"/>
      <c r="G9" s="11"/>
      <c r="H9" s="11"/>
      <c r="I9" s="11"/>
      <c r="J9" s="11"/>
      <c r="K9" s="11"/>
      <c r="L9" s="21"/>
    </row>
    <row r="10" customFormat="false" ht="12" hidden="false" customHeight="true" outlineLevel="0" collapsed="false">
      <c r="B10" s="18"/>
      <c r="C10" s="23"/>
      <c r="D10" s="23"/>
      <c r="E10" s="116"/>
      <c r="F10" s="116"/>
      <c r="G10" s="11"/>
      <c r="H10" s="11"/>
      <c r="I10" s="11"/>
      <c r="J10" s="11"/>
      <c r="K10" s="11"/>
      <c r="L10" s="21"/>
    </row>
    <row r="11" customFormat="false" ht="15" hidden="false" customHeight="true" outlineLevel="0" collapsed="false">
      <c r="B11" s="18"/>
      <c r="C11" s="36" t="s">
        <v>101</v>
      </c>
      <c r="D11" s="11"/>
      <c r="E11" s="116"/>
      <c r="F11" s="30"/>
      <c r="G11" s="11"/>
      <c r="H11" s="36"/>
      <c r="I11" s="45"/>
      <c r="J11" s="45"/>
      <c r="K11" s="45"/>
      <c r="L11" s="38"/>
    </row>
    <row r="12" customFormat="false" ht="15" hidden="false" customHeight="true" outlineLevel="0" collapsed="false">
      <c r="B12" s="18"/>
      <c r="C12" s="115"/>
      <c r="D12" s="115"/>
      <c r="E12" s="115"/>
      <c r="F12" s="115"/>
      <c r="G12" s="115"/>
      <c r="H12" s="115"/>
      <c r="I12" s="115"/>
      <c r="J12" s="115"/>
      <c r="K12" s="115"/>
      <c r="L12" s="38"/>
    </row>
    <row r="13" customFormat="false" ht="15" hidden="false" customHeight="true" outlineLevel="0" collapsed="false">
      <c r="B13" s="18"/>
      <c r="C13" s="115"/>
      <c r="D13" s="115"/>
      <c r="E13" s="115"/>
      <c r="F13" s="115"/>
      <c r="G13" s="115"/>
      <c r="H13" s="115"/>
      <c r="I13" s="115"/>
      <c r="J13" s="115"/>
      <c r="K13" s="115"/>
      <c r="L13" s="38"/>
    </row>
    <row r="14" customFormat="false" ht="15" hidden="false" customHeight="true" outlineLevel="0" collapsed="false">
      <c r="B14" s="18"/>
      <c r="C14" s="115"/>
      <c r="D14" s="115"/>
      <c r="E14" s="115"/>
      <c r="F14" s="115"/>
      <c r="G14" s="115"/>
      <c r="H14" s="115"/>
      <c r="I14" s="115"/>
      <c r="J14" s="115"/>
      <c r="K14" s="115"/>
      <c r="L14" s="38"/>
    </row>
    <row r="15" customFormat="false" ht="15" hidden="false" customHeight="false" outlineLevel="0" collapsed="false">
      <c r="B15" s="18"/>
      <c r="C15" s="46" t="s">
        <v>26</v>
      </c>
      <c r="D15" s="46"/>
      <c r="E15" s="46"/>
      <c r="F15" s="46"/>
      <c r="G15" s="46"/>
      <c r="H15" s="46"/>
      <c r="I15" s="46"/>
      <c r="J15" s="46"/>
      <c r="K15" s="46"/>
      <c r="L15" s="47"/>
    </row>
    <row r="16" customFormat="false" ht="15" hidden="false" customHeight="false" outlineLevel="0" collapsed="false">
      <c r="B16" s="18"/>
      <c r="C16" s="46"/>
      <c r="D16" s="46"/>
      <c r="E16" s="46"/>
      <c r="F16" s="46"/>
      <c r="G16" s="46"/>
      <c r="H16" s="46"/>
      <c r="I16" s="46"/>
      <c r="J16" s="46"/>
      <c r="K16" s="46"/>
      <c r="L16" s="47"/>
    </row>
    <row r="17" customFormat="false" ht="24.75" hidden="false" customHeight="true" outlineLevel="0" collapsed="false">
      <c r="B17" s="18"/>
      <c r="C17" s="128" t="s">
        <v>73</v>
      </c>
      <c r="D17" s="128"/>
      <c r="E17" s="129" t="s">
        <v>102</v>
      </c>
      <c r="F17" s="130" t="s">
        <v>28</v>
      </c>
      <c r="G17" s="130"/>
      <c r="H17" s="129" t="s">
        <v>29</v>
      </c>
      <c r="I17" s="129" t="s">
        <v>75</v>
      </c>
      <c r="J17" s="128" t="s">
        <v>67</v>
      </c>
      <c r="K17" s="128"/>
      <c r="L17" s="47"/>
    </row>
    <row r="18" customFormat="false" ht="15" hidden="false" customHeight="true" outlineLevel="0" collapsed="false">
      <c r="B18" s="18"/>
      <c r="C18" s="139" t="s">
        <v>132</v>
      </c>
      <c r="D18" s="139"/>
      <c r="E18" s="108" t="n">
        <v>42897</v>
      </c>
      <c r="F18" s="139" t="s">
        <v>97</v>
      </c>
      <c r="G18" s="139"/>
      <c r="H18" s="140" t="n">
        <v>5860</v>
      </c>
      <c r="I18" s="140" t="n">
        <v>2</v>
      </c>
      <c r="J18" s="132" t="s">
        <v>133</v>
      </c>
      <c r="K18" s="132"/>
      <c r="L18" s="47"/>
    </row>
    <row r="19" customFormat="false" ht="15" hidden="false" customHeight="true" outlineLevel="0" collapsed="false">
      <c r="B19" s="18"/>
      <c r="C19" s="139" t="s">
        <v>132</v>
      </c>
      <c r="D19" s="139"/>
      <c r="E19" s="108" t="n">
        <v>42931</v>
      </c>
      <c r="F19" s="139" t="s">
        <v>97</v>
      </c>
      <c r="G19" s="139"/>
      <c r="H19" s="140" t="n">
        <v>1719</v>
      </c>
      <c r="I19" s="140" t="n">
        <v>2</v>
      </c>
      <c r="J19" s="132"/>
      <c r="K19" s="132"/>
      <c r="L19" s="47"/>
    </row>
    <row r="20" customFormat="false" ht="15" hidden="false" customHeight="true" outlineLevel="0" collapsed="false">
      <c r="B20" s="18"/>
      <c r="C20" s="139"/>
      <c r="D20" s="139"/>
      <c r="E20" s="108"/>
      <c r="F20" s="139"/>
      <c r="G20" s="139"/>
      <c r="H20" s="140"/>
      <c r="I20" s="140"/>
      <c r="J20" s="132"/>
      <c r="K20" s="132"/>
      <c r="L20" s="47"/>
    </row>
    <row r="21" customFormat="false" ht="15" hidden="false" customHeight="true" outlineLevel="0" collapsed="false">
      <c r="B21" s="18"/>
      <c r="C21" s="139"/>
      <c r="D21" s="139"/>
      <c r="E21" s="108"/>
      <c r="F21" s="139"/>
      <c r="G21" s="139"/>
      <c r="H21" s="140"/>
      <c r="I21" s="140"/>
      <c r="J21" s="132"/>
      <c r="K21" s="132"/>
      <c r="L21" s="47"/>
    </row>
    <row r="22" customFormat="false" ht="15" hidden="false" customHeight="true" outlineLevel="0" collapsed="false">
      <c r="B22" s="18"/>
      <c r="C22" s="139"/>
      <c r="D22" s="139"/>
      <c r="E22" s="108"/>
      <c r="F22" s="139"/>
      <c r="G22" s="139"/>
      <c r="H22" s="140"/>
      <c r="I22" s="140"/>
      <c r="J22" s="132"/>
      <c r="K22" s="132"/>
      <c r="L22" s="47"/>
    </row>
    <row r="23" customFormat="false" ht="15" hidden="false" customHeight="true" outlineLevel="0" collapsed="false">
      <c r="B23" s="18"/>
      <c r="C23" s="139"/>
      <c r="D23" s="139"/>
      <c r="E23" s="108"/>
      <c r="F23" s="139"/>
      <c r="G23" s="139"/>
      <c r="H23" s="140"/>
      <c r="I23" s="140"/>
      <c r="J23" s="132"/>
      <c r="K23" s="132"/>
      <c r="L23" s="47"/>
    </row>
    <row r="24" customFormat="false" ht="15" hidden="false" customHeight="true" outlineLevel="0" collapsed="false">
      <c r="B24" s="18"/>
      <c r="C24" s="139"/>
      <c r="D24" s="139"/>
      <c r="E24" s="108"/>
      <c r="F24" s="139"/>
      <c r="G24" s="139"/>
      <c r="H24" s="140"/>
      <c r="I24" s="140"/>
      <c r="J24" s="132"/>
      <c r="K24" s="132"/>
      <c r="L24" s="47"/>
    </row>
    <row r="25" customFormat="false" ht="15" hidden="false" customHeight="true" outlineLevel="0" collapsed="false">
      <c r="B25" s="18"/>
      <c r="C25" s="139"/>
      <c r="D25" s="139"/>
      <c r="E25" s="108"/>
      <c r="F25" s="139"/>
      <c r="G25" s="139"/>
      <c r="H25" s="140"/>
      <c r="I25" s="140"/>
      <c r="J25" s="132"/>
      <c r="K25" s="132"/>
      <c r="L25" s="47"/>
    </row>
    <row r="26" customFormat="false" ht="15" hidden="false" customHeight="true" outlineLevel="0" collapsed="false">
      <c r="B26" s="18"/>
      <c r="C26" s="139"/>
      <c r="D26" s="139"/>
      <c r="E26" s="108"/>
      <c r="F26" s="139"/>
      <c r="G26" s="139"/>
      <c r="H26" s="140"/>
      <c r="I26" s="140"/>
      <c r="J26" s="132"/>
      <c r="K26" s="132"/>
      <c r="L26" s="47"/>
    </row>
    <row r="27" customFormat="false" ht="15" hidden="false" customHeight="true" outlineLevel="0" collapsed="false">
      <c r="B27" s="18"/>
      <c r="C27" s="139"/>
      <c r="D27" s="139"/>
      <c r="E27" s="108"/>
      <c r="F27" s="139"/>
      <c r="G27" s="139"/>
      <c r="H27" s="140"/>
      <c r="I27" s="140"/>
      <c r="J27" s="132"/>
      <c r="K27" s="132"/>
      <c r="L27" s="47"/>
    </row>
    <row r="28" customFormat="false" ht="15" hidden="false" customHeight="false" outlineLevel="0" collapsed="false">
      <c r="B28" s="18"/>
      <c r="C28" s="20"/>
      <c r="D28" s="52"/>
      <c r="E28" s="52"/>
      <c r="F28" s="52"/>
      <c r="G28" s="20"/>
      <c r="H28" s="20"/>
      <c r="I28" s="20"/>
      <c r="J28" s="20"/>
      <c r="K28" s="20"/>
      <c r="L28" s="21"/>
    </row>
    <row r="29" customFormat="false" ht="15" hidden="false" customHeight="false" outlineLevel="0" collapsed="false">
      <c r="B29" s="18"/>
      <c r="C29" s="20"/>
      <c r="D29" s="20"/>
      <c r="E29" s="20"/>
      <c r="F29" s="20"/>
      <c r="G29" s="20"/>
      <c r="H29" s="53" t="s">
        <v>28</v>
      </c>
      <c r="I29" s="53"/>
      <c r="J29" s="53" t="s">
        <v>29</v>
      </c>
      <c r="K29" s="20"/>
      <c r="L29" s="21"/>
    </row>
    <row r="30" customFormat="false" ht="15" hidden="false" customHeight="false" outlineLevel="0" collapsed="false">
      <c r="B30" s="18"/>
      <c r="C30" s="20"/>
      <c r="D30" s="53" t="s">
        <v>103</v>
      </c>
      <c r="E30" s="53"/>
      <c r="F30" s="53"/>
      <c r="G30" s="53"/>
      <c r="H30" s="54" t="s">
        <v>97</v>
      </c>
      <c r="I30" s="54"/>
      <c r="J30" s="55" t="n">
        <v>7579</v>
      </c>
      <c r="K30" s="20"/>
      <c r="L30" s="21"/>
    </row>
    <row r="31" customFormat="false" ht="15" hidden="false" customHeight="false" outlineLevel="0" collapsed="false">
      <c r="B31" s="18"/>
      <c r="C31" s="20"/>
      <c r="D31" s="56"/>
      <c r="E31" s="56"/>
      <c r="F31" s="56"/>
      <c r="G31" s="56"/>
      <c r="H31" s="20"/>
      <c r="I31" s="20"/>
      <c r="J31" s="20"/>
      <c r="K31" s="20"/>
      <c r="L31" s="21"/>
    </row>
    <row r="32" customFormat="false" ht="15" hidden="false" customHeight="false" outlineLevel="0" collapsed="false">
      <c r="B32" s="18"/>
      <c r="C32" s="63" t="s">
        <v>104</v>
      </c>
      <c r="D32" s="63"/>
      <c r="E32" s="56"/>
      <c r="F32" s="56"/>
      <c r="G32" s="56"/>
      <c r="H32" s="20"/>
      <c r="I32" s="20"/>
      <c r="J32" s="20"/>
      <c r="K32" s="20"/>
      <c r="L32" s="21"/>
    </row>
    <row r="33" customFormat="false" ht="15" hidden="false" customHeight="false" outlineLevel="0" collapsed="false">
      <c r="B33" s="18"/>
      <c r="C33" s="20"/>
      <c r="D33" s="23" t="s">
        <v>105</v>
      </c>
      <c r="E33" s="23"/>
      <c r="F33" s="134" t="s">
        <v>134</v>
      </c>
      <c r="G33" s="134"/>
      <c r="H33" s="134"/>
      <c r="I33" s="20"/>
      <c r="J33" s="20"/>
      <c r="K33" s="20"/>
      <c r="L33" s="21"/>
    </row>
    <row r="34" customFormat="false" ht="15" hidden="false" customHeight="false" outlineLevel="0" collapsed="false">
      <c r="B34" s="18"/>
      <c r="C34" s="20"/>
      <c r="D34" s="23" t="s">
        <v>106</v>
      </c>
      <c r="E34" s="23"/>
      <c r="F34" s="135" t="s">
        <v>135</v>
      </c>
      <c r="G34" s="135"/>
      <c r="H34" s="135"/>
      <c r="I34" s="20"/>
      <c r="J34" s="20"/>
      <c r="K34" s="20"/>
      <c r="L34" s="21"/>
    </row>
    <row r="35" customFormat="false" ht="15" hidden="false" customHeight="false" outlineLevel="0" collapsed="false">
      <c r="B35" s="18"/>
      <c r="C35" s="20"/>
      <c r="D35" s="23" t="s">
        <v>107</v>
      </c>
      <c r="E35" s="23"/>
      <c r="F35" s="134" t="s">
        <v>136</v>
      </c>
      <c r="G35" s="134"/>
      <c r="H35" s="134"/>
      <c r="I35" s="20"/>
      <c r="J35" s="20"/>
      <c r="K35" s="20"/>
      <c r="L35" s="21"/>
    </row>
    <row r="36" customFormat="false" ht="15" hidden="false" customHeight="false" outlineLevel="0" collapsed="false">
      <c r="B36" s="18"/>
      <c r="C36" s="20"/>
      <c r="D36" s="23" t="s">
        <v>108</v>
      </c>
      <c r="E36" s="23"/>
      <c r="F36" s="134" t="s">
        <v>137</v>
      </c>
      <c r="G36" s="134"/>
      <c r="H36" s="134"/>
      <c r="I36" s="20"/>
      <c r="J36" s="20"/>
      <c r="K36" s="20"/>
      <c r="L36" s="21"/>
    </row>
    <row r="37" customFormat="false" ht="15" hidden="false" customHeight="false" outlineLevel="0" collapsed="false">
      <c r="B37" s="39"/>
      <c r="C37" s="41"/>
      <c r="D37" s="41"/>
      <c r="E37" s="41"/>
      <c r="F37" s="41"/>
      <c r="G37" s="41"/>
      <c r="H37" s="41"/>
      <c r="I37" s="41"/>
      <c r="J37" s="41"/>
      <c r="K37" s="41"/>
      <c r="L37" s="62"/>
    </row>
    <row r="38" customFormat="false" ht="15" hidden="false" customHeight="false" outlineLevel="0" collapsed="false">
      <c r="B38" s="18"/>
      <c r="C38" s="63" t="s">
        <v>35</v>
      </c>
      <c r="D38" s="63"/>
      <c r="E38" s="20"/>
      <c r="F38" s="20"/>
      <c r="G38" s="20"/>
      <c r="H38" s="20"/>
      <c r="I38" s="20"/>
      <c r="J38" s="20"/>
      <c r="K38" s="20"/>
      <c r="L38" s="21"/>
    </row>
    <row r="39" customFormat="false" ht="16.5" hidden="false" customHeight="true" outlineLevel="0" collapsed="false">
      <c r="B39" s="18"/>
      <c r="C39" s="20"/>
      <c r="D39" s="121" t="s">
        <v>109</v>
      </c>
      <c r="E39" s="121"/>
      <c r="F39" s="121"/>
      <c r="G39" s="121"/>
      <c r="H39" s="121"/>
      <c r="I39" s="121"/>
      <c r="J39" s="121"/>
      <c r="K39" s="121"/>
      <c r="L39" s="21"/>
    </row>
    <row r="40" customFormat="false" ht="16.5" hidden="false" customHeight="true" outlineLevel="0" collapsed="false">
      <c r="B40" s="18"/>
      <c r="C40" s="20"/>
      <c r="D40" s="121"/>
      <c r="E40" s="121"/>
      <c r="F40" s="121"/>
      <c r="G40" s="121"/>
      <c r="H40" s="121"/>
      <c r="I40" s="121"/>
      <c r="J40" s="121"/>
      <c r="K40" s="121"/>
      <c r="L40" s="21"/>
    </row>
    <row r="41" customFormat="false" ht="18" hidden="false" customHeight="true" outlineLevel="0" collapsed="false">
      <c r="B41" s="18"/>
      <c r="C41" s="20"/>
      <c r="D41" s="20"/>
      <c r="E41" s="20"/>
      <c r="F41" s="20"/>
      <c r="G41" s="20"/>
      <c r="H41" s="20"/>
      <c r="I41" s="20"/>
      <c r="J41" s="20"/>
      <c r="K41" s="20"/>
      <c r="L41" s="21"/>
    </row>
    <row r="42" customFormat="false" ht="15" hidden="false" customHeight="false" outlineLevel="0" collapsed="false">
      <c r="B42" s="18"/>
      <c r="C42" s="20"/>
      <c r="D42" s="20"/>
      <c r="E42" s="20"/>
      <c r="H42" s="20"/>
      <c r="I42" s="41"/>
      <c r="J42" s="41"/>
      <c r="L42" s="21"/>
    </row>
    <row r="43" customFormat="false" ht="15" hidden="false" customHeight="false" outlineLevel="0" collapsed="false">
      <c r="B43" s="18"/>
      <c r="C43" s="69" t="s">
        <v>37</v>
      </c>
      <c r="D43" s="69"/>
      <c r="E43" s="69"/>
      <c r="H43" s="70"/>
      <c r="I43" s="70" t="s">
        <v>93</v>
      </c>
      <c r="J43" s="70"/>
      <c r="L43" s="21"/>
    </row>
    <row r="44" customFormat="false" ht="15" hidden="false" customHeight="false" outlineLevel="0" collapsed="false">
      <c r="B44" s="18"/>
      <c r="C44" s="20" t="s">
        <v>39</v>
      </c>
      <c r="D44" s="20"/>
      <c r="E44" s="20" t="str">
        <f aca="false">IF(LEN(E7)&gt;0,E7,"")</f>
        <v>MAHDIHUSAIN MOMIN</v>
      </c>
      <c r="H44" s="20"/>
      <c r="I44" s="20" t="s">
        <v>40</v>
      </c>
      <c r="J44" s="20"/>
      <c r="L44" s="21"/>
    </row>
    <row r="45" customFormat="false" ht="15" hidden="false" customHeight="false" outlineLevel="0" collapsed="false">
      <c r="B45" s="18"/>
      <c r="C45" s="20" t="s">
        <v>41</v>
      </c>
      <c r="D45" s="20"/>
      <c r="E45" s="20"/>
      <c r="F45" s="20"/>
      <c r="G45" s="20"/>
      <c r="H45" s="20"/>
      <c r="I45" s="20" t="s">
        <v>41</v>
      </c>
      <c r="J45" s="20"/>
      <c r="K45" s="20"/>
      <c r="L45" s="21"/>
    </row>
    <row r="46" customFormat="false" ht="33" hidden="false" customHeight="true" outlineLevel="0" collapsed="false">
      <c r="B46" s="18"/>
      <c r="C46" s="20"/>
      <c r="D46" s="20"/>
      <c r="E46" s="20"/>
      <c r="F46" s="20"/>
      <c r="G46" s="20"/>
      <c r="H46" s="20"/>
      <c r="I46" s="20"/>
      <c r="J46" s="20"/>
      <c r="K46" s="20"/>
      <c r="L46" s="21"/>
    </row>
    <row r="47" customFormat="false" ht="15" hidden="false" customHeight="false" outlineLevel="0" collapsed="false">
      <c r="B47" s="18"/>
      <c r="C47" s="20"/>
      <c r="D47" s="20"/>
      <c r="E47" s="20"/>
      <c r="F47" s="20"/>
      <c r="G47" s="20"/>
      <c r="H47" s="20"/>
      <c r="I47" s="41"/>
      <c r="J47" s="41"/>
      <c r="K47" s="20"/>
      <c r="L47" s="21"/>
    </row>
    <row r="48" customFormat="false" ht="15" hidden="false" customHeight="false" outlineLevel="0" collapsed="false">
      <c r="B48" s="18"/>
      <c r="C48" s="69" t="s">
        <v>42</v>
      </c>
      <c r="D48" s="69"/>
      <c r="E48" s="69"/>
      <c r="F48" s="20"/>
      <c r="G48" s="20"/>
      <c r="H48" s="20"/>
      <c r="I48" s="70" t="s">
        <v>43</v>
      </c>
      <c r="J48" s="70"/>
      <c r="K48" s="70"/>
      <c r="L48" s="21"/>
    </row>
    <row r="49" customFormat="false" ht="15" hidden="false" customHeight="false" outlineLevel="0" collapsed="false">
      <c r="B49" s="18"/>
      <c r="C49" s="20" t="s">
        <v>41</v>
      </c>
      <c r="D49" s="20"/>
      <c r="E49" s="20"/>
      <c r="F49" s="20"/>
      <c r="G49" s="20"/>
      <c r="H49" s="20"/>
      <c r="I49" s="23" t="s">
        <v>41</v>
      </c>
      <c r="J49" s="23"/>
      <c r="K49" s="23"/>
      <c r="L49" s="21"/>
    </row>
    <row r="50" customFormat="false" ht="15" hidden="false" customHeight="false" outlineLevel="0" collapsed="false">
      <c r="B50" s="18"/>
      <c r="C50" s="20"/>
      <c r="D50" s="20"/>
      <c r="E50" s="20"/>
      <c r="F50" s="20"/>
      <c r="G50" s="20"/>
      <c r="H50" s="20"/>
      <c r="I50" s="20"/>
      <c r="J50" s="20"/>
      <c r="K50" s="20"/>
      <c r="L50" s="21"/>
    </row>
    <row r="51" customFormat="false" ht="15" hidden="false" customHeight="false" outlineLevel="0" collapsed="false">
      <c r="B51" s="31"/>
      <c r="C51" s="57" t="s">
        <v>44</v>
      </c>
      <c r="D51" s="32"/>
      <c r="E51" s="32"/>
      <c r="F51" s="32"/>
      <c r="G51" s="32"/>
      <c r="H51" s="32"/>
      <c r="I51" s="32"/>
      <c r="J51" s="32"/>
      <c r="K51" s="32"/>
      <c r="L51" s="34"/>
    </row>
    <row r="52" customFormat="false" ht="15" hidden="false" customHeight="false" outlineLevel="0" collapsed="false">
      <c r="B52" s="18"/>
      <c r="C52" s="71" t="n">
        <v>1</v>
      </c>
      <c r="D52" s="72" t="s">
        <v>124</v>
      </c>
      <c r="E52" s="72"/>
      <c r="F52" s="71" t="str">
        <f aca="false">IF(IFERROR(VLOOKUP("Client Entertainment",$C$18:$D$27,1,0),"Not Required")="Not Required","Not Required","Required")</f>
        <v>Not Required</v>
      </c>
      <c r="G52" s="20"/>
      <c r="H52" s="20"/>
      <c r="I52" s="20"/>
      <c r="J52" s="20"/>
      <c r="K52" s="20"/>
      <c r="L52" s="21"/>
    </row>
    <row r="53" customFormat="false" ht="15" hidden="false" customHeight="false" outlineLevel="0" collapsed="false">
      <c r="B53" s="18"/>
      <c r="C53" s="71" t="n">
        <v>2</v>
      </c>
      <c r="D53" s="72" t="s">
        <v>125</v>
      </c>
      <c r="E53" s="72"/>
      <c r="F53" s="71" t="str">
        <f aca="false">IF(IFERROR(VLOOKUP("Dept. - Staff Welfare",$C$18:$D$27,1,0),"Not Required")="Not Required","Not Required","Required")</f>
        <v>Not Required</v>
      </c>
      <c r="G53" s="20"/>
      <c r="H53" s="20"/>
      <c r="I53" s="20"/>
      <c r="J53" s="20"/>
      <c r="K53" s="20"/>
      <c r="L53" s="21"/>
    </row>
    <row r="54" customFormat="false" ht="15" hidden="false" customHeight="false" outlineLevel="0" collapsed="false">
      <c r="B54" s="18"/>
      <c r="C54" s="71" t="n">
        <v>3</v>
      </c>
      <c r="D54" s="72" t="s">
        <v>138</v>
      </c>
      <c r="E54" s="72"/>
      <c r="F54" s="71" t="str">
        <f aca="false">IF(IFERROR(VLOOKUP("External Courses",$C$18:$D$27,1,0),"Not Required")="Not Required","Not Required","Required")</f>
        <v>Not Required</v>
      </c>
      <c r="G54" s="20"/>
      <c r="H54" s="20"/>
      <c r="I54" s="20"/>
      <c r="J54" s="20"/>
      <c r="K54" s="20"/>
      <c r="L54" s="21"/>
    </row>
    <row r="55" customFormat="false" ht="15" hidden="false" customHeight="false" outlineLevel="0" collapsed="false">
      <c r="B55" s="18"/>
      <c r="C55" s="71" t="n">
        <v>4</v>
      </c>
      <c r="D55" s="72" t="s">
        <v>139</v>
      </c>
      <c r="E55" s="141"/>
      <c r="F55" s="71" t="str">
        <f aca="false">IF(IFERROR(VLOOKUP("Local Conveyance",$C$18:$D$27,1,0),"Not Required")="Not Required","Not Required","Required")</f>
        <v>Not Required</v>
      </c>
      <c r="G55" s="20"/>
      <c r="H55" s="20"/>
      <c r="I55" s="20"/>
      <c r="J55" s="20"/>
      <c r="K55" s="20"/>
      <c r="L55" s="21"/>
    </row>
    <row r="56" customFormat="false" ht="15" hidden="false" customHeight="false" outlineLevel="0" collapsed="false">
      <c r="B56" s="18"/>
      <c r="C56" s="71" t="n">
        <v>5</v>
      </c>
      <c r="D56" s="72" t="s">
        <v>140</v>
      </c>
      <c r="E56" s="141"/>
      <c r="F56" s="71" t="str">
        <f aca="false">IF(IFERROR(VLOOKUP("Training - Others",$C$18:$D$27,1,0),"Not Required")="Not Required","Not Required","Required")</f>
        <v>Not Required</v>
      </c>
      <c r="G56" s="20"/>
      <c r="H56" s="20"/>
      <c r="I56" s="20"/>
      <c r="J56" s="20"/>
      <c r="K56" s="20"/>
      <c r="L56" s="21"/>
    </row>
    <row r="57" customFormat="false" ht="15" hidden="false" customHeight="false" outlineLevel="0" collapsed="false">
      <c r="B57" s="18"/>
      <c r="C57" s="71" t="n">
        <v>6</v>
      </c>
      <c r="D57" s="72" t="s">
        <v>141</v>
      </c>
      <c r="E57" s="141"/>
      <c r="F57" s="71" t="str">
        <f aca="false">IF(IFERROR(VLOOKUP("Work Permits &amp; Visas",$C$18:$D$27,1,0),"Not Required")="Not Required","Not Required","Required")</f>
        <v>Not Required</v>
      </c>
      <c r="G57" s="20"/>
      <c r="H57" s="20"/>
      <c r="I57" s="20"/>
      <c r="J57" s="20"/>
      <c r="K57" s="20"/>
      <c r="L57" s="21"/>
    </row>
    <row r="58" customFormat="false" ht="15" hidden="false" customHeight="false" outlineLevel="0" collapsed="false">
      <c r="B58" s="18"/>
      <c r="C58" s="71" t="n">
        <v>7</v>
      </c>
      <c r="D58" s="72" t="s">
        <v>142</v>
      </c>
      <c r="E58" s="141"/>
      <c r="F58" s="71" t="str">
        <f aca="false">IF(IFERROR(VLOOKUP("Other",$C$18:$D$27,1,0),"Not Required")="Not Required","Not Required","Required")</f>
        <v>Not Required</v>
      </c>
      <c r="G58" s="20"/>
      <c r="H58" s="20"/>
      <c r="I58" s="20"/>
      <c r="J58" s="20"/>
      <c r="K58" s="20"/>
      <c r="L58" s="21"/>
    </row>
    <row r="59" customFormat="false" ht="12" hidden="false" customHeight="true" outlineLevel="0" collapsed="false">
      <c r="B59" s="18"/>
      <c r="C59" s="20"/>
      <c r="D59" s="20"/>
      <c r="E59" s="20"/>
      <c r="F59" s="20"/>
      <c r="G59" s="20"/>
      <c r="H59" s="20"/>
      <c r="I59" s="20"/>
      <c r="J59" s="20"/>
      <c r="K59" s="20"/>
      <c r="L59" s="21"/>
    </row>
    <row r="60" customFormat="false" ht="6" hidden="false" customHeight="true" outlineLevel="0" collapsed="false">
      <c r="B60" s="18"/>
      <c r="C60" s="20"/>
      <c r="D60" s="63"/>
      <c r="E60" s="63"/>
      <c r="F60" s="63"/>
      <c r="G60" s="63"/>
      <c r="H60" s="63"/>
      <c r="I60" s="63"/>
      <c r="J60" s="63"/>
      <c r="K60" s="63"/>
      <c r="L60" s="21"/>
    </row>
    <row r="61" customFormat="false" ht="9" hidden="false" customHeight="true" outlineLevel="0" collapsed="false">
      <c r="B61" s="18"/>
      <c r="C61" s="20"/>
      <c r="D61" s="137"/>
      <c r="E61" s="137"/>
      <c r="F61" s="137"/>
      <c r="G61" s="137"/>
      <c r="H61" s="137"/>
      <c r="I61" s="137"/>
      <c r="J61" s="137"/>
      <c r="K61" s="137"/>
      <c r="L61" s="21"/>
    </row>
    <row r="62" customFormat="false" ht="9" hidden="false" customHeight="true" outlineLevel="0" collapsed="false">
      <c r="B62" s="76"/>
      <c r="C62" s="77" t="s">
        <v>55</v>
      </c>
      <c r="D62" s="78"/>
      <c r="E62" s="78"/>
      <c r="F62" s="78"/>
      <c r="G62" s="78"/>
      <c r="H62" s="79"/>
      <c r="I62" s="79"/>
      <c r="J62" s="79"/>
      <c r="K62" s="79"/>
      <c r="L62" s="80"/>
    </row>
  </sheetData>
  <sheetProtection sheet="true" scenarios="true" selectLockedCells="true"/>
  <mergeCells count="56">
    <mergeCell ref="K2:L3"/>
    <mergeCell ref="C3:J3"/>
    <mergeCell ref="C7:D7"/>
    <mergeCell ref="E7:F7"/>
    <mergeCell ref="I7:J7"/>
    <mergeCell ref="C8:D8"/>
    <mergeCell ref="E8:F8"/>
    <mergeCell ref="I8:J8"/>
    <mergeCell ref="C9:D9"/>
    <mergeCell ref="E9:F9"/>
    <mergeCell ref="C12:K14"/>
    <mergeCell ref="C15:K15"/>
    <mergeCell ref="C17:D17"/>
    <mergeCell ref="F17:G17"/>
    <mergeCell ref="J17:K17"/>
    <mergeCell ref="C18:D18"/>
    <mergeCell ref="F18:G18"/>
    <mergeCell ref="J18:K27"/>
    <mergeCell ref="C19:D19"/>
    <mergeCell ref="F19:G19"/>
    <mergeCell ref="C20:D20"/>
    <mergeCell ref="F20:G20"/>
    <mergeCell ref="C21:D21"/>
    <mergeCell ref="F21:G21"/>
    <mergeCell ref="C22:D22"/>
    <mergeCell ref="F22:G22"/>
    <mergeCell ref="C23:D23"/>
    <mergeCell ref="F23:G23"/>
    <mergeCell ref="C24:D24"/>
    <mergeCell ref="F24:G24"/>
    <mergeCell ref="C25:D25"/>
    <mergeCell ref="F25:G25"/>
    <mergeCell ref="C26:D26"/>
    <mergeCell ref="F26:G26"/>
    <mergeCell ref="C27:D27"/>
    <mergeCell ref="F27:G27"/>
    <mergeCell ref="H29:I29"/>
    <mergeCell ref="D30:G30"/>
    <mergeCell ref="H30:I30"/>
    <mergeCell ref="C32:D32"/>
    <mergeCell ref="D33:E33"/>
    <mergeCell ref="F33:H33"/>
    <mergeCell ref="D34:E34"/>
    <mergeCell ref="F34:H34"/>
    <mergeCell ref="D35:E35"/>
    <mergeCell ref="F35:H35"/>
    <mergeCell ref="D36:E36"/>
    <mergeCell ref="F36:H36"/>
    <mergeCell ref="C38:D38"/>
    <mergeCell ref="D39:K39"/>
    <mergeCell ref="I49:K49"/>
    <mergeCell ref="D52:E52"/>
    <mergeCell ref="D53:E53"/>
    <mergeCell ref="D54:E54"/>
    <mergeCell ref="D60:K60"/>
    <mergeCell ref="D61:K61"/>
  </mergeCells>
  <dataValidations count="1">
    <dataValidation allowBlank="true" operator="between" showDropDown="false" showErrorMessage="true" showInputMessage="true" sqref="F18:F27 H30:H32" type="list">
      <formula1>CURRENCY</formula1>
      <formula2>0</formula2>
    </dataValidation>
  </dataValidations>
  <printOptions headings="false" gridLines="false" gridLinesSet="true" horizontalCentered="false" verticalCentered="false"/>
  <pageMargins left="0.7" right="0.7" top="0.75" bottom="0.75" header="0.511805555555555" footer="0.3"/>
  <pageSetup paperSize="1" scale="100" firstPageNumber="0" fitToWidth="1" fitToHeight="3" pageOrder="downThenOver" orientation="portrait" usePrinterDefaults="false" blackAndWhite="false" draft="false" cellComments="none" useFirstPageNumber="false" horizontalDpi="300" verticalDpi="300" copies="1"/>
  <headerFooter differentFirst="false" differentOddEven="false">
    <oddHeader/>
    <oddFooter>&amp;LRESTRICTED</oddFooter>
  </headerFooter>
  <drawing r:id="rId1"/>
</worksheet>
</file>

<file path=xl/worksheets/sheet12.xml><?xml version="1.0" encoding="utf-8"?>
<worksheet xmlns="http://schemas.openxmlformats.org/spreadsheetml/2006/main" xmlns:r="http://schemas.openxmlformats.org/officeDocument/2006/relationships">
  <sheetPr filterMode="false">
    <pageSetUpPr fitToPage="false"/>
  </sheetPr>
  <dimension ref="A1:P51"/>
  <sheetViews>
    <sheetView windowProtection="false" showFormulas="false" showGridLines="true" showRowColHeaders="false" showZeros="true" rightToLeft="false" tabSelected="false" showOutlineSymbols="true" defaultGridColor="true" view="normal" topLeftCell="A1" colorId="64" zoomScale="100" zoomScaleNormal="100" zoomScalePageLayoutView="100" workbookViewId="0">
      <selection pane="topLeft" activeCell="D7" activeCellId="0" sqref="D7"/>
    </sheetView>
  </sheetViews>
  <sheetFormatPr defaultRowHeight="15"/>
  <cols>
    <col collapsed="false" hidden="false" max="1" min="1" style="0" width="9.4251012145749"/>
    <col collapsed="false" hidden="false" max="2" min="2" style="0" width="26.5668016194332"/>
    <col collapsed="false" hidden="false" max="3" min="3" style="0" width="24.4251012145749"/>
    <col collapsed="false" hidden="false" max="4" min="4" style="0" width="26.1376518218623"/>
    <col collapsed="false" hidden="false" max="5" min="5" style="0" width="8.57085020242915"/>
    <col collapsed="false" hidden="false" max="6" min="6" style="0" width="10.9271255060729"/>
    <col collapsed="false" hidden="false" max="7" min="7" style="0" width="16.3886639676113"/>
    <col collapsed="false" hidden="false" max="8" min="8" style="0" width="8.57085020242915"/>
    <col collapsed="false" hidden="false" max="9" min="9" style="0" width="23.3522267206478"/>
    <col collapsed="false" hidden="false" max="1025" min="10" style="0" width="8.57085020242915"/>
  </cols>
  <sheetData>
    <row r="1" customFormat="false" ht="15" hidden="false" customHeight="false" outlineLevel="0" collapsed="false">
      <c r="A1" s="136"/>
      <c r="B1" s="136"/>
      <c r="C1" s="136"/>
      <c r="D1" s="136"/>
      <c r="E1" s="136"/>
      <c r="F1" s="136"/>
      <c r="G1" s="136"/>
      <c r="H1" s="136"/>
      <c r="I1" s="136"/>
      <c r="J1" s="136"/>
      <c r="K1" s="136"/>
      <c r="L1" s="136"/>
      <c r="M1" s="136"/>
    </row>
    <row r="2" customFormat="false" ht="15" hidden="false" customHeight="false" outlineLevel="0" collapsed="false">
      <c r="A2" s="136" t="s">
        <v>143</v>
      </c>
      <c r="B2" s="136" t="s">
        <v>144</v>
      </c>
      <c r="C2" s="133" t="s">
        <v>60</v>
      </c>
      <c r="D2" s="136" t="s">
        <v>97</v>
      </c>
      <c r="E2" s="136"/>
      <c r="F2" s="136" t="s">
        <v>144</v>
      </c>
      <c r="G2" s="133" t="s">
        <v>145</v>
      </c>
      <c r="H2" s="136" t="n">
        <v>1</v>
      </c>
      <c r="I2" s="133" t="s">
        <v>146</v>
      </c>
      <c r="J2" s="136" t="s">
        <v>147</v>
      </c>
      <c r="K2" s="133" t="s">
        <v>148</v>
      </c>
      <c r="L2" s="136" t="s">
        <v>149</v>
      </c>
      <c r="M2" s="136" t="s">
        <v>144</v>
      </c>
      <c r="N2" s="136" t="s">
        <v>150</v>
      </c>
      <c r="O2" s="136" t="s">
        <v>151</v>
      </c>
      <c r="P2" s="136" t="s">
        <v>152</v>
      </c>
    </row>
    <row r="3" customFormat="false" ht="15" hidden="false" customHeight="false" outlineLevel="0" collapsed="false">
      <c r="A3" s="136" t="s">
        <v>153</v>
      </c>
      <c r="B3" s="136" t="s">
        <v>154</v>
      </c>
      <c r="C3" s="133" t="s">
        <v>61</v>
      </c>
      <c r="D3" s="136" t="s">
        <v>155</v>
      </c>
      <c r="E3" s="136"/>
      <c r="F3" s="136" t="s">
        <v>154</v>
      </c>
      <c r="G3" s="133" t="s">
        <v>156</v>
      </c>
      <c r="H3" s="136" t="n">
        <v>2</v>
      </c>
      <c r="I3" s="133" t="s">
        <v>62</v>
      </c>
      <c r="J3" s="136" t="s">
        <v>157</v>
      </c>
      <c r="K3" s="133" t="s">
        <v>158</v>
      </c>
      <c r="L3" s="136" t="s">
        <v>151</v>
      </c>
      <c r="M3" s="136" t="s">
        <v>159</v>
      </c>
      <c r="N3" s="136" t="s">
        <v>160</v>
      </c>
      <c r="O3" s="133" t="s">
        <v>161</v>
      </c>
      <c r="P3" s="136" t="s">
        <v>162</v>
      </c>
    </row>
    <row r="4" customFormat="false" ht="15" hidden="false" customHeight="false" outlineLevel="0" collapsed="false">
      <c r="A4" s="136"/>
      <c r="B4" s="136" t="s">
        <v>159</v>
      </c>
      <c r="C4" s="133" t="s">
        <v>62</v>
      </c>
      <c r="D4" s="136" t="s">
        <v>163</v>
      </c>
      <c r="E4" s="136"/>
      <c r="F4" s="136"/>
      <c r="G4" s="133" t="s">
        <v>161</v>
      </c>
      <c r="H4" s="136" t="n">
        <v>3</v>
      </c>
      <c r="I4" s="136"/>
      <c r="J4" s="133" t="s">
        <v>161</v>
      </c>
      <c r="K4" s="136" t="s">
        <v>164</v>
      </c>
      <c r="L4" s="136" t="s">
        <v>165</v>
      </c>
      <c r="M4" s="136" t="s">
        <v>166</v>
      </c>
      <c r="N4" s="136" t="s">
        <v>167</v>
      </c>
      <c r="O4" s="136" t="s">
        <v>168</v>
      </c>
    </row>
    <row r="5" customFormat="false" ht="15" hidden="false" customHeight="false" outlineLevel="0" collapsed="false">
      <c r="A5" s="136"/>
      <c r="B5" s="136" t="s">
        <v>166</v>
      </c>
      <c r="C5" s="136"/>
      <c r="D5" s="136" t="s">
        <v>169</v>
      </c>
      <c r="E5" s="136"/>
      <c r="F5" s="136"/>
      <c r="G5" s="133" t="s">
        <v>170</v>
      </c>
      <c r="H5" s="136" t="n">
        <v>4</v>
      </c>
      <c r="I5" s="136"/>
      <c r="J5" s="142" t="s">
        <v>171</v>
      </c>
      <c r="K5" s="136" t="s">
        <v>172</v>
      </c>
      <c r="L5" s="136"/>
      <c r="M5" s="136"/>
      <c r="N5" s="136" t="s">
        <v>173</v>
      </c>
      <c r="O5" s="136" t="s">
        <v>150</v>
      </c>
    </row>
    <row r="6" customFormat="false" ht="15" hidden="false" customHeight="false" outlineLevel="0" collapsed="false">
      <c r="A6" s="136"/>
      <c r="B6" s="136"/>
      <c r="C6" s="136"/>
      <c r="D6" s="136" t="s">
        <v>174</v>
      </c>
      <c r="E6" s="136"/>
      <c r="F6" s="136"/>
      <c r="G6" s="133" t="s">
        <v>175</v>
      </c>
      <c r="H6" s="136" t="n">
        <v>5</v>
      </c>
      <c r="I6" s="136"/>
      <c r="J6" s="136"/>
      <c r="K6" s="136"/>
      <c r="L6" s="136"/>
      <c r="N6" s="136" t="s">
        <v>176</v>
      </c>
      <c r="O6" s="136" t="s">
        <v>160</v>
      </c>
    </row>
    <row r="7" customFormat="false" ht="15" hidden="false" customHeight="false" outlineLevel="0" collapsed="false">
      <c r="A7" s="136"/>
      <c r="B7" s="136"/>
      <c r="C7" s="136"/>
      <c r="D7" s="136" t="s">
        <v>177</v>
      </c>
      <c r="E7" s="136"/>
      <c r="F7" s="136"/>
      <c r="G7" s="142" t="s">
        <v>171</v>
      </c>
      <c r="H7" s="136" t="n">
        <v>6</v>
      </c>
      <c r="I7" s="136"/>
      <c r="J7" s="136"/>
      <c r="K7" s="136"/>
      <c r="L7" s="136"/>
      <c r="M7" s="136"/>
      <c r="N7" s="136" t="s">
        <v>178</v>
      </c>
      <c r="O7" s="142" t="s">
        <v>171</v>
      </c>
    </row>
    <row r="8" customFormat="false" ht="15" hidden="false" customHeight="false" outlineLevel="0" collapsed="false">
      <c r="A8" s="136"/>
      <c r="B8" s="136"/>
      <c r="C8" s="136"/>
      <c r="D8" s="136" t="s">
        <v>179</v>
      </c>
      <c r="E8" s="136"/>
      <c r="F8" s="136"/>
      <c r="H8" s="136" t="n">
        <v>7</v>
      </c>
      <c r="I8" s="136"/>
      <c r="J8" s="136"/>
      <c r="K8" s="136"/>
      <c r="L8" s="136"/>
      <c r="M8" s="136"/>
      <c r="N8" s="136" t="s">
        <v>180</v>
      </c>
      <c r="P8" s="136"/>
    </row>
    <row r="9" customFormat="false" ht="15" hidden="false" customHeight="false" outlineLevel="0" collapsed="false">
      <c r="A9" s="136"/>
      <c r="B9" s="136"/>
      <c r="C9" s="136"/>
      <c r="D9" s="136" t="s">
        <v>181</v>
      </c>
      <c r="E9" s="136"/>
      <c r="F9" s="136"/>
      <c r="H9" s="136" t="n">
        <v>8</v>
      </c>
      <c r="I9" s="136"/>
      <c r="J9" s="136"/>
      <c r="K9" s="136"/>
      <c r="L9" s="136"/>
      <c r="M9" s="136"/>
    </row>
    <row r="10" customFormat="false" ht="15" hidden="false" customHeight="false" outlineLevel="0" collapsed="false">
      <c r="A10" s="136"/>
      <c r="B10" s="136"/>
      <c r="C10" s="136"/>
      <c r="D10" s="136" t="s">
        <v>182</v>
      </c>
      <c r="E10" s="136"/>
      <c r="F10" s="136"/>
      <c r="G10" s="136"/>
      <c r="H10" s="136" t="n">
        <v>9</v>
      </c>
      <c r="I10" s="136"/>
      <c r="J10" s="136"/>
      <c r="K10" s="136"/>
      <c r="L10" s="136"/>
      <c r="M10" s="136"/>
    </row>
    <row r="11" customFormat="false" ht="15" hidden="false" customHeight="false" outlineLevel="0" collapsed="false">
      <c r="A11" s="136"/>
      <c r="B11" s="136"/>
      <c r="C11" s="136"/>
      <c r="D11" s="136" t="s">
        <v>183</v>
      </c>
      <c r="E11" s="136"/>
      <c r="F11" s="136"/>
      <c r="G11" s="136"/>
      <c r="H11" s="136" t="n">
        <v>10</v>
      </c>
      <c r="I11" s="136"/>
      <c r="J11" s="136"/>
      <c r="K11" s="136"/>
      <c r="L11" s="136"/>
      <c r="M11" s="136"/>
    </row>
    <row r="12" customFormat="false" ht="15" hidden="false" customHeight="false" outlineLevel="0" collapsed="false">
      <c r="A12" s="136"/>
      <c r="B12" s="136"/>
      <c r="C12" s="136"/>
      <c r="D12" s="136" t="s">
        <v>184</v>
      </c>
      <c r="E12" s="136"/>
      <c r="F12" s="136"/>
      <c r="G12" s="136"/>
      <c r="H12" s="136" t="n">
        <v>11</v>
      </c>
      <c r="I12" s="136"/>
      <c r="J12" s="136"/>
      <c r="K12" s="136"/>
      <c r="L12" s="136"/>
      <c r="M12" s="136"/>
    </row>
    <row r="13" customFormat="false" ht="15" hidden="false" customHeight="false" outlineLevel="0" collapsed="false">
      <c r="A13" s="136"/>
      <c r="B13" s="136"/>
      <c r="C13" s="136"/>
      <c r="D13" s="136" t="s">
        <v>185</v>
      </c>
      <c r="E13" s="136"/>
      <c r="F13" s="136"/>
      <c r="G13" s="136"/>
      <c r="H13" s="136" t="n">
        <v>12</v>
      </c>
      <c r="I13" s="136"/>
      <c r="J13" s="136"/>
      <c r="K13" s="136"/>
      <c r="L13" s="136"/>
      <c r="M13" s="136"/>
    </row>
    <row r="14" customFormat="false" ht="15" hidden="false" customHeight="false" outlineLevel="0" collapsed="false">
      <c r="A14" s="136"/>
      <c r="C14" s="136"/>
      <c r="D14" s="136" t="s">
        <v>186</v>
      </c>
      <c r="E14" s="136"/>
      <c r="F14" s="136"/>
      <c r="G14" s="136"/>
      <c r="H14" s="136" t="n">
        <v>13</v>
      </c>
      <c r="I14" s="136"/>
      <c r="J14" s="136"/>
      <c r="K14" s="136"/>
      <c r="L14" s="136"/>
      <c r="M14" s="136"/>
    </row>
    <row r="15" customFormat="false" ht="15" hidden="false" customHeight="false" outlineLevel="0" collapsed="false">
      <c r="A15" s="136"/>
      <c r="C15" s="136"/>
      <c r="D15" s="136" t="s">
        <v>187</v>
      </c>
      <c r="E15" s="136"/>
      <c r="F15" s="136"/>
      <c r="G15" s="136"/>
      <c r="H15" s="136" t="n">
        <v>14</v>
      </c>
      <c r="I15" s="136"/>
      <c r="J15" s="136"/>
      <c r="K15" s="136"/>
      <c r="L15" s="136"/>
      <c r="M15" s="136"/>
    </row>
    <row r="16" customFormat="false" ht="15" hidden="false" customHeight="false" outlineLevel="0" collapsed="false">
      <c r="A16" s="136"/>
      <c r="B16" s="136"/>
      <c r="C16" s="136"/>
      <c r="D16" s="136" t="s">
        <v>188</v>
      </c>
      <c r="E16" s="136"/>
      <c r="F16" s="136"/>
      <c r="G16" s="136"/>
      <c r="H16" s="136" t="n">
        <v>15</v>
      </c>
      <c r="I16" s="136"/>
      <c r="J16" s="136"/>
      <c r="K16" s="136"/>
      <c r="L16" s="136"/>
      <c r="M16" s="136"/>
    </row>
    <row r="17" customFormat="false" ht="15" hidden="false" customHeight="false" outlineLevel="0" collapsed="false">
      <c r="A17" s="136"/>
      <c r="C17" s="136"/>
      <c r="D17" s="136" t="s">
        <v>189</v>
      </c>
      <c r="E17" s="136"/>
      <c r="F17" s="136"/>
      <c r="G17" s="136"/>
      <c r="H17" s="136" t="n">
        <v>16</v>
      </c>
      <c r="I17" s="136"/>
      <c r="J17" s="136"/>
      <c r="K17" s="136"/>
      <c r="L17" s="136"/>
      <c r="M17" s="136"/>
    </row>
    <row r="18" customFormat="false" ht="15" hidden="false" customHeight="false" outlineLevel="0" collapsed="false">
      <c r="A18" s="136"/>
      <c r="C18" s="136"/>
      <c r="D18" s="136" t="s">
        <v>190</v>
      </c>
      <c r="E18" s="136"/>
      <c r="F18" s="136"/>
      <c r="G18" s="136"/>
      <c r="H18" s="136" t="n">
        <v>17</v>
      </c>
      <c r="I18" s="136"/>
      <c r="J18" s="136"/>
      <c r="K18" s="136"/>
      <c r="L18" s="136"/>
      <c r="M18" s="136"/>
    </row>
    <row r="19" customFormat="false" ht="15" hidden="false" customHeight="false" outlineLevel="0" collapsed="false">
      <c r="A19" s="136"/>
      <c r="C19" s="136"/>
      <c r="D19" s="136" t="s">
        <v>191</v>
      </c>
      <c r="E19" s="136"/>
      <c r="F19" s="136"/>
      <c r="G19" s="136"/>
      <c r="H19" s="136" t="n">
        <v>18</v>
      </c>
      <c r="I19" s="136"/>
      <c r="J19" s="136"/>
      <c r="K19" s="136"/>
      <c r="L19" s="136"/>
      <c r="M19" s="136"/>
    </row>
    <row r="20" customFormat="false" ht="15" hidden="false" customHeight="false" outlineLevel="0" collapsed="false">
      <c r="A20" s="136"/>
      <c r="B20" s="136"/>
      <c r="C20" s="136"/>
      <c r="D20" s="136" t="s">
        <v>192</v>
      </c>
      <c r="E20" s="136"/>
      <c r="F20" s="136"/>
      <c r="G20" s="136"/>
      <c r="H20" s="136" t="n">
        <v>19</v>
      </c>
      <c r="I20" s="136"/>
      <c r="J20" s="136"/>
      <c r="K20" s="136"/>
      <c r="L20" s="136"/>
      <c r="M20" s="136"/>
    </row>
    <row r="21" customFormat="false" ht="15" hidden="false" customHeight="false" outlineLevel="0" collapsed="false">
      <c r="A21" s="136"/>
      <c r="B21" s="136"/>
      <c r="C21" s="136"/>
      <c r="D21" s="136" t="s">
        <v>193</v>
      </c>
      <c r="E21" s="136"/>
      <c r="F21" s="136"/>
      <c r="G21" s="136"/>
      <c r="H21" s="136" t="n">
        <v>20</v>
      </c>
      <c r="I21" s="136"/>
      <c r="J21" s="136"/>
      <c r="K21" s="136"/>
      <c r="M21" s="136"/>
    </row>
    <row r="22" customFormat="false" ht="15" hidden="false" customHeight="false" outlineLevel="0" collapsed="false">
      <c r="A22" s="136"/>
      <c r="B22" s="136"/>
      <c r="C22" s="136"/>
      <c r="D22" s="136" t="s">
        <v>194</v>
      </c>
      <c r="E22" s="136"/>
      <c r="F22" s="136"/>
      <c r="G22" s="136"/>
      <c r="H22" s="136" t="n">
        <v>21</v>
      </c>
      <c r="I22" s="136"/>
      <c r="J22" s="136"/>
      <c r="K22" s="136"/>
      <c r="M22" s="136"/>
    </row>
    <row r="23" customFormat="false" ht="15" hidden="false" customHeight="false" outlineLevel="0" collapsed="false">
      <c r="A23" s="136"/>
      <c r="B23" s="136"/>
      <c r="C23" s="136"/>
      <c r="E23" s="136"/>
      <c r="F23" s="136"/>
      <c r="G23" s="136"/>
      <c r="H23" s="136" t="n">
        <v>22</v>
      </c>
      <c r="I23" s="136"/>
      <c r="J23" s="136"/>
      <c r="K23" s="136"/>
      <c r="M23" s="136"/>
    </row>
    <row r="24" customFormat="false" ht="15" hidden="false" customHeight="false" outlineLevel="0" collapsed="false">
      <c r="A24" s="136"/>
      <c r="C24" s="136"/>
      <c r="D24" s="136"/>
      <c r="E24" s="136"/>
      <c r="F24" s="136"/>
      <c r="G24" s="136"/>
      <c r="H24" s="136" t="n">
        <v>23</v>
      </c>
      <c r="I24" s="136"/>
      <c r="J24" s="136"/>
      <c r="K24" s="136"/>
      <c r="M24" s="136"/>
    </row>
    <row r="25" customFormat="false" ht="15" hidden="false" customHeight="false" outlineLevel="0" collapsed="false">
      <c r="A25" s="136"/>
      <c r="C25" s="136"/>
      <c r="D25" s="136"/>
      <c r="E25" s="136"/>
      <c r="F25" s="136"/>
      <c r="G25" s="136"/>
      <c r="H25" s="136" t="n">
        <v>24</v>
      </c>
      <c r="I25" s="136"/>
      <c r="J25" s="136"/>
      <c r="K25" s="136"/>
      <c r="M25" s="136"/>
    </row>
    <row r="26" customFormat="false" ht="15" hidden="false" customHeight="false" outlineLevel="0" collapsed="false">
      <c r="A26" s="136"/>
      <c r="C26" s="136"/>
      <c r="D26" s="136"/>
      <c r="E26" s="136"/>
      <c r="F26" s="136"/>
      <c r="G26" s="136"/>
      <c r="H26" s="136" t="n">
        <v>25</v>
      </c>
      <c r="I26" s="136"/>
      <c r="J26" s="136"/>
      <c r="K26" s="136"/>
      <c r="M26" s="136"/>
    </row>
    <row r="27" customFormat="false" ht="15" hidden="false" customHeight="false" outlineLevel="0" collapsed="false">
      <c r="A27" s="136"/>
      <c r="C27" s="136"/>
      <c r="D27" s="136"/>
      <c r="E27" s="136"/>
      <c r="F27" s="136"/>
      <c r="G27" s="136"/>
      <c r="H27" s="136" t="n">
        <v>26</v>
      </c>
      <c r="I27" s="136"/>
      <c r="J27" s="136"/>
      <c r="K27" s="136"/>
      <c r="M27" s="136"/>
    </row>
    <row r="28" customFormat="false" ht="15" hidden="false" customHeight="false" outlineLevel="0" collapsed="false">
      <c r="A28" s="136"/>
      <c r="C28" s="136"/>
      <c r="D28" s="136"/>
      <c r="E28" s="136"/>
      <c r="F28" s="136"/>
      <c r="G28" s="136"/>
      <c r="H28" s="136" t="n">
        <v>27</v>
      </c>
      <c r="I28" s="136"/>
      <c r="J28" s="136"/>
      <c r="K28" s="136"/>
      <c r="M28" s="136"/>
    </row>
    <row r="29" customFormat="false" ht="15" hidden="false" customHeight="false" outlineLevel="0" collapsed="false">
      <c r="A29" s="136"/>
      <c r="B29" s="136"/>
      <c r="C29" s="136"/>
      <c r="D29" s="136"/>
      <c r="E29" s="136"/>
      <c r="F29" s="136"/>
      <c r="G29" s="136"/>
      <c r="H29" s="136" t="n">
        <v>28</v>
      </c>
      <c r="I29" s="136"/>
      <c r="J29" s="136"/>
      <c r="K29" s="136"/>
      <c r="L29" s="136"/>
      <c r="M29" s="136"/>
    </row>
    <row r="30" customFormat="false" ht="15" hidden="false" customHeight="false" outlineLevel="0" collapsed="false">
      <c r="A30" s="136"/>
      <c r="C30" s="136"/>
      <c r="D30" s="136"/>
      <c r="E30" s="136"/>
      <c r="F30" s="136"/>
      <c r="G30" s="136"/>
      <c r="H30" s="136" t="n">
        <v>29</v>
      </c>
      <c r="I30" s="136"/>
      <c r="J30" s="136"/>
      <c r="K30" s="136"/>
      <c r="L30" s="136"/>
      <c r="M30" s="136"/>
    </row>
    <row r="31" customFormat="false" ht="15" hidden="false" customHeight="false" outlineLevel="0" collapsed="false">
      <c r="A31" s="136"/>
      <c r="C31" s="136"/>
      <c r="D31" s="136"/>
      <c r="E31" s="136"/>
      <c r="F31" s="136"/>
      <c r="G31" s="136"/>
      <c r="H31" s="136" t="n">
        <v>30</v>
      </c>
      <c r="I31" s="136"/>
      <c r="J31" s="136"/>
      <c r="K31" s="136"/>
      <c r="L31" s="136"/>
      <c r="M31" s="136"/>
    </row>
    <row r="32" customFormat="false" ht="15" hidden="false" customHeight="false" outlineLevel="0" collapsed="false">
      <c r="A32" s="136"/>
      <c r="C32" s="136"/>
      <c r="D32" s="136"/>
      <c r="E32" s="136"/>
      <c r="F32" s="136"/>
      <c r="G32" s="136"/>
      <c r="H32" s="136" t="n">
        <v>31</v>
      </c>
      <c r="I32" s="136"/>
      <c r="J32" s="136"/>
      <c r="K32" s="136"/>
      <c r="L32" s="136"/>
      <c r="M32" s="136"/>
    </row>
    <row r="33" customFormat="false" ht="15" hidden="false" customHeight="false" outlineLevel="0" collapsed="false">
      <c r="A33" s="136"/>
      <c r="C33" s="136"/>
      <c r="D33" s="136"/>
      <c r="E33" s="136"/>
      <c r="F33" s="136"/>
      <c r="G33" s="136"/>
      <c r="H33" s="136" t="n">
        <v>32</v>
      </c>
      <c r="I33" s="136"/>
      <c r="J33" s="136"/>
      <c r="K33" s="136"/>
      <c r="L33" s="136"/>
      <c r="M33" s="136"/>
    </row>
    <row r="34" customFormat="false" ht="15" hidden="false" customHeight="false" outlineLevel="0" collapsed="false">
      <c r="A34" s="136"/>
      <c r="B34" s="136"/>
      <c r="C34" s="136"/>
      <c r="D34" s="136"/>
      <c r="E34" s="136"/>
      <c r="F34" s="136"/>
      <c r="G34" s="136"/>
      <c r="H34" s="136" t="n">
        <v>33</v>
      </c>
      <c r="I34" s="136"/>
      <c r="J34" s="136"/>
      <c r="K34" s="136"/>
      <c r="L34" s="136"/>
      <c r="M34" s="136"/>
    </row>
    <row r="35" customFormat="false" ht="15" hidden="false" customHeight="false" outlineLevel="0" collapsed="false">
      <c r="A35" s="136"/>
      <c r="C35" s="136"/>
      <c r="D35" s="136"/>
      <c r="E35" s="136"/>
      <c r="F35" s="136"/>
      <c r="G35" s="136"/>
      <c r="H35" s="136" t="n">
        <v>34</v>
      </c>
      <c r="I35" s="136"/>
      <c r="J35" s="136"/>
      <c r="K35" s="136"/>
      <c r="L35" s="136"/>
      <c r="M35" s="136"/>
    </row>
    <row r="36" customFormat="false" ht="15" hidden="false" customHeight="false" outlineLevel="0" collapsed="false">
      <c r="A36" s="136"/>
      <c r="B36" s="136"/>
      <c r="C36" s="136"/>
      <c r="D36" s="136"/>
      <c r="E36" s="136"/>
      <c r="F36" s="136"/>
      <c r="G36" s="136"/>
      <c r="H36" s="136" t="n">
        <v>35</v>
      </c>
      <c r="I36" s="136"/>
      <c r="J36" s="136"/>
      <c r="K36" s="136"/>
      <c r="L36" s="136"/>
      <c r="M36" s="136"/>
    </row>
    <row r="37" customFormat="false" ht="15" hidden="false" customHeight="false" outlineLevel="0" collapsed="false">
      <c r="A37" s="136"/>
      <c r="B37" s="136"/>
      <c r="C37" s="136"/>
      <c r="D37" s="136"/>
      <c r="E37" s="136"/>
      <c r="F37" s="136"/>
      <c r="G37" s="136"/>
      <c r="H37" s="136" t="n">
        <v>36</v>
      </c>
      <c r="I37" s="136"/>
      <c r="J37" s="136"/>
      <c r="K37" s="136"/>
      <c r="L37" s="136"/>
      <c r="M37" s="136"/>
    </row>
    <row r="38" customFormat="false" ht="15" hidden="false" customHeight="false" outlineLevel="0" collapsed="false">
      <c r="A38" s="136"/>
      <c r="B38" s="136"/>
      <c r="C38" s="136"/>
      <c r="D38" s="136"/>
      <c r="E38" s="136"/>
      <c r="F38" s="136"/>
      <c r="G38" s="136"/>
      <c r="H38" s="136" t="n">
        <v>37</v>
      </c>
      <c r="I38" s="136"/>
      <c r="J38" s="136"/>
      <c r="K38" s="136"/>
      <c r="L38" s="136"/>
      <c r="M38" s="136"/>
    </row>
    <row r="39" customFormat="false" ht="15" hidden="false" customHeight="false" outlineLevel="0" collapsed="false">
      <c r="A39" s="136"/>
      <c r="C39" s="136"/>
      <c r="D39" s="136"/>
      <c r="E39" s="136"/>
      <c r="F39" s="136"/>
      <c r="G39" s="136"/>
      <c r="H39" s="136" t="n">
        <v>38</v>
      </c>
      <c r="I39" s="136"/>
      <c r="J39" s="136"/>
      <c r="K39" s="136"/>
      <c r="L39" s="136"/>
      <c r="M39" s="136"/>
    </row>
    <row r="40" customFormat="false" ht="15" hidden="false" customHeight="false" outlineLevel="0" collapsed="false">
      <c r="A40" s="136"/>
      <c r="B40" s="136"/>
      <c r="C40" s="136"/>
      <c r="D40" s="136"/>
      <c r="E40" s="136"/>
      <c r="F40" s="136"/>
      <c r="G40" s="136"/>
      <c r="H40" s="136" t="n">
        <v>39</v>
      </c>
      <c r="I40" s="136"/>
      <c r="J40" s="136"/>
      <c r="K40" s="136"/>
      <c r="L40" s="136"/>
      <c r="M40" s="136"/>
    </row>
    <row r="41" customFormat="false" ht="15" hidden="false" customHeight="false" outlineLevel="0" collapsed="false">
      <c r="A41" s="136"/>
      <c r="B41" s="136"/>
      <c r="C41" s="136"/>
      <c r="D41" s="136"/>
      <c r="E41" s="136"/>
      <c r="F41" s="136"/>
      <c r="G41" s="136"/>
      <c r="H41" s="136" t="n">
        <v>40</v>
      </c>
      <c r="I41" s="136"/>
      <c r="J41" s="136"/>
      <c r="K41" s="136"/>
      <c r="L41" s="136"/>
      <c r="M41" s="136"/>
    </row>
    <row r="42" customFormat="false" ht="15" hidden="false" customHeight="false" outlineLevel="0" collapsed="false">
      <c r="A42" s="136"/>
      <c r="B42" s="136"/>
      <c r="C42" s="136"/>
      <c r="D42" s="136"/>
      <c r="E42" s="136"/>
      <c r="F42" s="136"/>
      <c r="G42" s="136"/>
      <c r="H42" s="136" t="n">
        <v>41</v>
      </c>
      <c r="I42" s="136"/>
      <c r="J42" s="136"/>
      <c r="K42" s="136"/>
      <c r="L42" s="136"/>
      <c r="M42" s="136"/>
    </row>
    <row r="43" customFormat="false" ht="15" hidden="false" customHeight="false" outlineLevel="0" collapsed="false">
      <c r="A43" s="136"/>
      <c r="B43" s="136"/>
      <c r="C43" s="136"/>
      <c r="D43" s="136"/>
      <c r="E43" s="136"/>
      <c r="F43" s="136"/>
      <c r="G43" s="136"/>
      <c r="H43" s="136" t="n">
        <v>42</v>
      </c>
      <c r="I43" s="136"/>
      <c r="J43" s="136"/>
      <c r="K43" s="136"/>
      <c r="L43" s="136"/>
      <c r="M43" s="136"/>
    </row>
    <row r="44" customFormat="false" ht="15" hidden="false" customHeight="false" outlineLevel="0" collapsed="false">
      <c r="A44" s="136"/>
      <c r="B44" s="136"/>
      <c r="C44" s="136"/>
      <c r="D44" s="136"/>
      <c r="E44" s="136"/>
      <c r="F44" s="136"/>
      <c r="G44" s="136"/>
      <c r="H44" s="136" t="n">
        <v>43</v>
      </c>
      <c r="I44" s="136"/>
      <c r="J44" s="136"/>
      <c r="K44" s="136"/>
      <c r="L44" s="136"/>
      <c r="M44" s="136"/>
    </row>
    <row r="45" customFormat="false" ht="15" hidden="false" customHeight="false" outlineLevel="0" collapsed="false">
      <c r="A45" s="136"/>
      <c r="B45" s="136"/>
      <c r="C45" s="136"/>
      <c r="D45" s="136"/>
      <c r="E45" s="136"/>
      <c r="F45" s="136"/>
      <c r="G45" s="136"/>
      <c r="H45" s="136" t="n">
        <v>44</v>
      </c>
      <c r="I45" s="136"/>
      <c r="J45" s="136"/>
      <c r="K45" s="136"/>
      <c r="L45" s="136"/>
      <c r="M45" s="136"/>
    </row>
    <row r="46" customFormat="false" ht="15" hidden="false" customHeight="false" outlineLevel="0" collapsed="false">
      <c r="A46" s="136"/>
      <c r="B46" s="136"/>
      <c r="C46" s="136"/>
      <c r="D46" s="136"/>
      <c r="E46" s="136"/>
      <c r="F46" s="136"/>
      <c r="G46" s="136"/>
      <c r="H46" s="136" t="n">
        <v>45</v>
      </c>
      <c r="I46" s="136"/>
      <c r="J46" s="136"/>
      <c r="K46" s="136"/>
      <c r="L46" s="136"/>
      <c r="M46" s="136"/>
    </row>
    <row r="47" customFormat="false" ht="15" hidden="false" customHeight="false" outlineLevel="0" collapsed="false">
      <c r="A47" s="136"/>
      <c r="B47" s="136"/>
      <c r="C47" s="136"/>
      <c r="D47" s="136"/>
      <c r="E47" s="136"/>
      <c r="F47" s="136"/>
      <c r="G47" s="136"/>
      <c r="H47" s="136" t="n">
        <v>46</v>
      </c>
      <c r="I47" s="136"/>
      <c r="J47" s="136"/>
      <c r="K47" s="136"/>
      <c r="L47" s="136"/>
      <c r="M47" s="136"/>
    </row>
    <row r="48" customFormat="false" ht="15" hidden="false" customHeight="false" outlineLevel="0" collapsed="false">
      <c r="A48" s="136"/>
      <c r="B48" s="136"/>
      <c r="C48" s="136"/>
      <c r="D48" s="136"/>
      <c r="E48" s="136"/>
      <c r="F48" s="136"/>
      <c r="G48" s="136"/>
      <c r="H48" s="136" t="n">
        <v>47</v>
      </c>
      <c r="I48" s="136"/>
      <c r="J48" s="136"/>
      <c r="K48" s="136"/>
      <c r="L48" s="136"/>
      <c r="M48" s="136"/>
    </row>
    <row r="49" customFormat="false" ht="15" hidden="false" customHeight="false" outlineLevel="0" collapsed="false">
      <c r="A49" s="136"/>
      <c r="B49" s="136"/>
      <c r="C49" s="136"/>
      <c r="D49" s="136"/>
      <c r="E49" s="136"/>
      <c r="F49" s="136"/>
      <c r="G49" s="136"/>
      <c r="H49" s="136" t="n">
        <v>48</v>
      </c>
      <c r="I49" s="136"/>
      <c r="J49" s="136"/>
      <c r="K49" s="136"/>
      <c r="L49" s="136"/>
      <c r="M49" s="136"/>
    </row>
    <row r="50" customFormat="false" ht="15" hidden="false" customHeight="false" outlineLevel="0" collapsed="false">
      <c r="A50" s="136"/>
      <c r="B50" s="136"/>
      <c r="C50" s="136"/>
      <c r="D50" s="136"/>
      <c r="E50" s="136"/>
      <c r="F50" s="136"/>
      <c r="G50" s="136"/>
      <c r="H50" s="136" t="n">
        <v>49</v>
      </c>
      <c r="I50" s="136"/>
      <c r="J50" s="136"/>
      <c r="K50" s="136"/>
      <c r="L50" s="136"/>
      <c r="M50" s="136"/>
    </row>
    <row r="51" customFormat="false" ht="15" hidden="false" customHeight="false" outlineLevel="0" collapsed="false">
      <c r="A51" s="136"/>
      <c r="B51" s="136"/>
      <c r="C51" s="136"/>
      <c r="D51" s="136"/>
      <c r="E51" s="136"/>
      <c r="F51" s="136"/>
      <c r="G51" s="136"/>
      <c r="H51" s="136" t="n">
        <v>50</v>
      </c>
      <c r="I51" s="136"/>
      <c r="J51" s="136"/>
      <c r="K51" s="136"/>
      <c r="L51" s="136"/>
      <c r="M51" s="136"/>
    </row>
  </sheetData>
  <printOptions headings="false" gridLines="false" gridLinesSet="true" horizontalCentered="false" verticalCentered="false"/>
  <pageMargins left="0.7" right="0.7" top="0.75" bottom="0.75" header="0.511805555555555" footer="0.3"/>
  <pageSetup paperSize="1"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&amp;LRESTRICTED</oddFooter>
  </headerFooter>
</worksheet>
</file>

<file path=xl/worksheets/sheet13.xml><?xml version="1.0" encoding="utf-8"?>
<worksheet xmlns="http://schemas.openxmlformats.org/spreadsheetml/2006/main" xmlns:r="http://schemas.openxmlformats.org/officeDocument/2006/relationships">
  <sheetPr filterMode="false">
    <pageSetUpPr fitToPage="false"/>
  </sheetPr>
  <dimension ref="A1:P22"/>
  <sheetViews>
    <sheetView windowProtection="false" showFormulas="false" showGridLines="true" showRowColHeaders="false" showZeros="true" rightToLeft="false" tabSelected="false" showOutlineSymbols="true" defaultGridColor="true" view="normal" topLeftCell="A1" colorId="64" zoomScale="100" zoomScaleNormal="100" zoomScalePageLayoutView="100" workbookViewId="0">
      <selection pane="topLeft" activeCell="M5" activeCellId="0" sqref="M5"/>
    </sheetView>
  </sheetViews>
  <sheetFormatPr defaultRowHeight="15"/>
  <cols>
    <col collapsed="false" hidden="false" max="1" min="1" style="0" width="25.4939271255061"/>
    <col collapsed="false" hidden="false" max="2" min="2" style="0" width="11.0323886639676"/>
    <col collapsed="false" hidden="false" max="5" min="3" style="0" width="8.57085020242915"/>
    <col collapsed="false" hidden="false" max="6" min="6" style="0" width="24.3157894736842"/>
    <col collapsed="false" hidden="false" max="7" min="7" style="0" width="11.0323886639676"/>
    <col collapsed="false" hidden="false" max="9" min="8" style="0" width="8.57085020242915"/>
    <col collapsed="false" hidden="false" max="10" min="10" style="0" width="11.0323886639676"/>
    <col collapsed="false" hidden="false" max="12" min="11" style="0" width="8.57085020242915"/>
    <col collapsed="false" hidden="false" max="13" min="13" style="0" width="17.3522267206478"/>
    <col collapsed="false" hidden="false" max="14" min="14" style="0" width="20.6720647773279"/>
    <col collapsed="false" hidden="false" max="15" min="15" style="0" width="15.6396761133603"/>
    <col collapsed="false" hidden="false" max="1025" min="16" style="0" width="8.57085020242915"/>
  </cols>
  <sheetData>
    <row r="1" customFormat="false" ht="15" hidden="false" customHeight="false" outlineLevel="0" collapsed="false">
      <c r="A1" s="0" t="s">
        <v>195</v>
      </c>
      <c r="B1" s="0" t="s">
        <v>196</v>
      </c>
      <c r="C1" s="0" t="s">
        <v>197</v>
      </c>
    </row>
    <row r="2" customFormat="false" ht="15" hidden="false" customHeight="false" outlineLevel="0" collapsed="false">
      <c r="A2" s="143" t="s">
        <v>198</v>
      </c>
      <c r="B2" s="0" t="n">
        <v>5212180000</v>
      </c>
      <c r="C2" s="0" t="s">
        <v>199</v>
      </c>
      <c r="F2" s="143" t="s">
        <v>200</v>
      </c>
      <c r="G2" s="0" t="n">
        <v>5212170000</v>
      </c>
      <c r="H2" s="0" t="s">
        <v>201</v>
      </c>
    </row>
    <row r="3" customFormat="false" ht="15" hidden="false" customHeight="false" outlineLevel="0" collapsed="false">
      <c r="A3" s="143" t="s">
        <v>202</v>
      </c>
      <c r="B3" s="0" t="n">
        <v>5212100000</v>
      </c>
      <c r="C3" s="0" t="s">
        <v>199</v>
      </c>
      <c r="F3" s="143" t="s">
        <v>203</v>
      </c>
      <c r="G3" s="0" t="n">
        <v>5212190000</v>
      </c>
      <c r="H3" s="0" t="s">
        <v>201</v>
      </c>
      <c r="J3" s="144"/>
      <c r="N3" s="145" t="s">
        <v>204</v>
      </c>
      <c r="O3" s="145" t="s">
        <v>197</v>
      </c>
      <c r="P3" s="145" t="s">
        <v>205</v>
      </c>
    </row>
    <row r="4" customFormat="false" ht="15" hidden="false" customHeight="false" outlineLevel="0" collapsed="false">
      <c r="A4" s="136" t="s">
        <v>147</v>
      </c>
      <c r="B4" s="0" t="n">
        <v>5212140000</v>
      </c>
      <c r="C4" s="0" t="s">
        <v>199</v>
      </c>
      <c r="F4" s="143" t="s">
        <v>206</v>
      </c>
      <c r="G4" s="0" t="n">
        <v>5212110000</v>
      </c>
      <c r="H4" s="0" t="s">
        <v>201</v>
      </c>
      <c r="M4" s="0" t="n">
        <v>5212190000</v>
      </c>
      <c r="N4" s="144" t="s">
        <v>161</v>
      </c>
      <c r="O4" s="146" t="s">
        <v>207</v>
      </c>
      <c r="P4" s="146"/>
    </row>
    <row r="5" customFormat="false" ht="15" hidden="false" customHeight="false" outlineLevel="0" collapsed="false">
      <c r="A5" s="136" t="s">
        <v>157</v>
      </c>
      <c r="B5" s="0" t="n">
        <v>5212120000</v>
      </c>
      <c r="C5" s="0" t="s">
        <v>199</v>
      </c>
      <c r="F5" s="133" t="s">
        <v>145</v>
      </c>
      <c r="G5" s="0" t="n">
        <v>5212150000</v>
      </c>
      <c r="H5" s="0" t="s">
        <v>201</v>
      </c>
      <c r="M5" s="0" t="n">
        <v>5212170000</v>
      </c>
      <c r="N5" s="144" t="s">
        <v>208</v>
      </c>
      <c r="O5" s="146" t="s">
        <v>207</v>
      </c>
      <c r="P5" s="146"/>
    </row>
    <row r="6" customFormat="false" ht="15" hidden="false" customHeight="false" outlineLevel="0" collapsed="false">
      <c r="A6" s="143" t="s">
        <v>209</v>
      </c>
      <c r="B6" s="0" t="n">
        <v>5212160000</v>
      </c>
      <c r="C6" s="0" t="s">
        <v>199</v>
      </c>
      <c r="F6" s="133" t="s">
        <v>156</v>
      </c>
      <c r="G6" s="0" t="n">
        <v>5212130000</v>
      </c>
      <c r="H6" s="0" t="s">
        <v>201</v>
      </c>
      <c r="M6" s="0" t="n">
        <v>5212170000</v>
      </c>
      <c r="N6" s="144" t="s">
        <v>170</v>
      </c>
      <c r="O6" s="146" t="s">
        <v>207</v>
      </c>
      <c r="P6" s="146"/>
    </row>
    <row r="7" customFormat="false" ht="15" hidden="false" customHeight="false" outlineLevel="0" collapsed="false">
      <c r="M7" s="0" t="n">
        <v>5212170000</v>
      </c>
      <c r="N7" s="144" t="s">
        <v>210</v>
      </c>
      <c r="O7" s="146" t="s">
        <v>207</v>
      </c>
      <c r="P7" s="146"/>
    </row>
    <row r="8" customFormat="false" ht="15" hidden="false" customHeight="false" outlineLevel="0" collapsed="false">
      <c r="M8" s="0" t="n">
        <v>5212170000</v>
      </c>
      <c r="N8" s="144" t="s">
        <v>175</v>
      </c>
      <c r="O8" s="146" t="s">
        <v>207</v>
      </c>
      <c r="P8" s="146"/>
    </row>
    <row r="9" customFormat="false" ht="15" hidden="false" customHeight="false" outlineLevel="0" collapsed="false">
      <c r="M9" s="0" t="n">
        <v>5212170000</v>
      </c>
      <c r="N9" s="147" t="s">
        <v>171</v>
      </c>
      <c r="O9" s="146" t="s">
        <v>207</v>
      </c>
      <c r="P9" s="146"/>
    </row>
    <row r="10" customFormat="false" ht="15" hidden="false" customHeight="false" outlineLevel="0" collapsed="false">
      <c r="M10" s="0" t="n">
        <v>5212180000</v>
      </c>
      <c r="N10" s="144" t="s">
        <v>161</v>
      </c>
      <c r="O10" s="146" t="s">
        <v>211</v>
      </c>
      <c r="P10" s="146"/>
    </row>
    <row r="11" customFormat="false" ht="15" hidden="false" customHeight="false" outlineLevel="0" collapsed="false">
      <c r="M11" s="0" t="n">
        <v>5212160000</v>
      </c>
      <c r="N11" s="147" t="s">
        <v>171</v>
      </c>
      <c r="O11" s="146" t="s">
        <v>211</v>
      </c>
      <c r="P11" s="146"/>
    </row>
    <row r="12" customFormat="false" ht="15" hidden="false" customHeight="false" outlineLevel="0" collapsed="false">
      <c r="N12" s="146" t="s">
        <v>180</v>
      </c>
      <c r="O12" s="146" t="s">
        <v>212</v>
      </c>
      <c r="P12" s="146"/>
    </row>
    <row r="14" customFormat="false" ht="15" hidden="false" customHeight="false" outlineLevel="0" collapsed="false">
      <c r="N14" s="133"/>
    </row>
    <row r="15" customFormat="false" ht="15" hidden="false" customHeight="false" outlineLevel="0" collapsed="false">
      <c r="N15" s="142"/>
    </row>
    <row r="16" customFormat="false" ht="15" hidden="false" customHeight="false" outlineLevel="0" collapsed="false">
      <c r="A16" s="0" t="s">
        <v>213</v>
      </c>
      <c r="B16" s="0" t="s">
        <v>196</v>
      </c>
      <c r="C16" s="0" t="s">
        <v>197</v>
      </c>
    </row>
    <row r="17" customFormat="false" ht="15" hidden="false" customHeight="false" outlineLevel="0" collapsed="false">
      <c r="A17" s="136" t="s">
        <v>150</v>
      </c>
      <c r="B17" s="0" t="n">
        <v>5213600000</v>
      </c>
      <c r="C17" s="0" t="s">
        <v>214</v>
      </c>
      <c r="J17" s="0" t="s">
        <v>215</v>
      </c>
    </row>
    <row r="18" customFormat="false" ht="15" hidden="false" customHeight="false" outlineLevel="0" collapsed="false">
      <c r="A18" s="136" t="s">
        <v>216</v>
      </c>
      <c r="B18" s="0" t="n">
        <v>5115190000</v>
      </c>
      <c r="C18" s="0" t="s">
        <v>214</v>
      </c>
      <c r="J18" s="0" t="n">
        <v>5212130000</v>
      </c>
      <c r="K18" s="136" t="s">
        <v>151</v>
      </c>
      <c r="N18" s="136"/>
    </row>
    <row r="19" customFormat="false" ht="15" hidden="false" customHeight="false" outlineLevel="0" collapsed="false">
      <c r="A19" s="136" t="s">
        <v>167</v>
      </c>
      <c r="B19" s="0" t="n">
        <v>5226600000</v>
      </c>
      <c r="C19" s="0" t="s">
        <v>214</v>
      </c>
      <c r="J19" s="0" t="n">
        <v>5212190000</v>
      </c>
      <c r="K19" s="133" t="s">
        <v>161</v>
      </c>
      <c r="N19" s="136"/>
    </row>
    <row r="20" customFormat="false" ht="15" hidden="false" customHeight="false" outlineLevel="0" collapsed="false">
      <c r="A20" s="136" t="s">
        <v>173</v>
      </c>
      <c r="B20" s="0" t="n">
        <v>5212200000</v>
      </c>
      <c r="C20" s="0" t="s">
        <v>214</v>
      </c>
      <c r="J20" s="0" t="n">
        <v>5212170000</v>
      </c>
      <c r="K20" s="136" t="s">
        <v>168</v>
      </c>
      <c r="N20" s="136"/>
    </row>
    <row r="21" customFormat="false" ht="15" hidden="false" customHeight="false" outlineLevel="0" collapsed="false">
      <c r="A21" s="136" t="s">
        <v>176</v>
      </c>
      <c r="B21" s="0" t="n">
        <v>5226700000</v>
      </c>
      <c r="C21" s="0" t="s">
        <v>214</v>
      </c>
      <c r="J21" s="0" t="n">
        <v>5212170000</v>
      </c>
      <c r="K21" s="142" t="s">
        <v>171</v>
      </c>
      <c r="N21" s="136"/>
    </row>
    <row r="22" customFormat="false" ht="15" hidden="false" customHeight="false" outlineLevel="0" collapsed="false">
      <c r="A22" s="136" t="s">
        <v>178</v>
      </c>
      <c r="B22" s="0" t="n">
        <v>5212210000</v>
      </c>
      <c r="C22" s="0" t="s">
        <v>214</v>
      </c>
      <c r="K22" s="133"/>
      <c r="N22" s="136"/>
    </row>
  </sheetData>
  <printOptions headings="false" gridLines="false" gridLinesSet="true" horizontalCentered="false" verticalCentered="false"/>
  <pageMargins left="0.7" right="0.7" top="0.75" bottom="0.75" header="0.511805555555555" footer="0.3"/>
  <pageSetup paperSize="1"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&amp;LRESTRICTED</oddFooter>
  </headerFooter>
</worksheet>
</file>

<file path=docProps/app.xml><?xml version="1.0" encoding="utf-8"?>
<Properties xmlns="http://schemas.openxmlformats.org/officeDocument/2006/extended-properties" xmlns:vt="http://schemas.openxmlformats.org/officeDocument/2006/docPropsVTypes">
  <Template/>
  <TotalTime>20</TotalTime>
  <Application>LibreOffice/5.1.6.2$Linux_X86_64 LibreOffice_project/10m0$Build-2</Application>
  <Company>HSBC</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2016-10-12T07:50:36Z</dcterms:created>
  <dc:creator>charith.appachu@noexternalmail.hsbc.com</dc:creator>
  <dc:description>RESTRICTED</dc:description>
  <cp:keywords>RESTRICTED</cp:keywords>
  <dc:language>en-IN</dc:language>
  <cp:lastModifiedBy/>
  <cp:lastPrinted>2017-03-21T06:46:15Z</cp:lastPrinted>
  <dcterms:modified xsi:type="dcterms:W3CDTF">2017-07-10T12:46:15Z</dcterms:modified>
  <cp:revision>16</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Classification">
    <vt:lpwstr>RESTRICTED</vt:lpwstr>
  </property>
  <property fmtid="{D5CDD505-2E9C-101B-9397-08002B2CF9AE}" pid="4" name="Company">
    <vt:lpwstr>HSBC</vt:lpwstr>
  </property>
  <property fmtid="{D5CDD505-2E9C-101B-9397-08002B2CF9AE}" pid="5" name="ContentTypeId">
    <vt:lpwstr>0x010100E310FA3D76578848A741F6059652CF7F</vt:lpwstr>
  </property>
  <property fmtid="{D5CDD505-2E9C-101B-9397-08002B2CF9AE}" pid="6" name="DocClassification">
    <vt:lpwstr>CLARESTRI</vt:lpwstr>
  </property>
  <property fmtid="{D5CDD505-2E9C-101B-9397-08002B2CF9AE}" pid="7" name="DocSecurity">
    <vt:i4>0</vt:i4>
  </property>
  <property fmtid="{D5CDD505-2E9C-101B-9397-08002B2CF9AE}" pid="8" name="Footers">
    <vt:lpwstr>Footers</vt:lpwstr>
  </property>
  <property fmtid="{D5CDD505-2E9C-101B-9397-08002B2CF9AE}" pid="9" name="HyperlinksChanged">
    <vt:bool>0</vt:bool>
  </property>
  <property fmtid="{D5CDD505-2E9C-101B-9397-08002B2CF9AE}" pid="10" name="LinksUpToDate">
    <vt:bool>0</vt:bool>
  </property>
  <property fmtid="{D5CDD505-2E9C-101B-9397-08002B2CF9AE}" pid="11" name="ScaleCrop">
    <vt:bool>0</vt:bool>
  </property>
  <property fmtid="{D5CDD505-2E9C-101B-9397-08002B2CF9AE}" pid="12" name="ShareDoc">
    <vt:bool>0</vt:bool>
  </property>
  <property fmtid="{D5CDD505-2E9C-101B-9397-08002B2CF9AE}" pid="13" name="Source">
    <vt:lpwstr>Internal</vt:lpwstr>
  </property>
</Properties>
</file>